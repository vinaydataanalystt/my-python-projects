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<sst xmlns="http://schemas.openxmlformats.org/spreadsheetml/2006/main" count="31" uniqueCount="31">
  <si>
    <t>Monthly Habit Tracker</t>
  </si>
  <si>
    <t>Month:</t>
  </si>
  <si>
    <t>September 2026</t>
  </si>
  <si>
    <t>How to use: type 1 if you did the habit that day, 0 if you missed it. Leave a day blank if it has not happened yet. Yellow cells and the habit names are yours to edit.</t>
  </si>
  <si>
    <t>Note: the 1s and 0s below are sample data. Delete them and enter your own.</t>
  </si>
  <si>
    <t>Habit</t>
  </si>
  <si>
    <t>Days Done</t>
  </si>
  <si>
    <t>Days Tracked</t>
  </si>
  <si>
    <t>Completion %</t>
  </si>
  <si>
    <t>Status</t>
  </si>
  <si>
    <t>Drink 2L water</t>
  </si>
  <si>
    <t>Exercise 30 min</t>
  </si>
  <si>
    <t>Read 20 pages</t>
  </si>
  <si>
    <t>Meditate 10 min</t>
  </si>
  <si>
    <t>Sleep before 11 PM</t>
  </si>
  <si>
    <t>Study / code 1 hour</t>
  </si>
  <si>
    <t>No junk food</t>
  </si>
  <si>
    <t>Walk 5000 steps</t>
  </si>
  <si>
    <t>Habits done today</t>
  </si>
  <si>
    <t>Daily completion %</t>
  </si>
  <si>
    <t>Habit Summary</t>
  </si>
  <si>
    <t>Measure</t>
  </si>
  <si>
    <t>Value</t>
  </si>
  <si>
    <t>Number of habits</t>
  </si>
  <si>
    <t>Overall completion %</t>
  </si>
  <si>
    <t>Best habit</t>
  </si>
  <si>
    <t>Best habit completion %</t>
  </si>
  <si>
    <t>Weakest habit</t>
  </si>
  <si>
    <t>Weakest habit completion %</t>
  </si>
  <si>
    <t>Best day (day number)</t>
  </si>
  <si>
    <t>Perfect days (all habits done)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</si>
</sst>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8.0"/>
      <color rgb="FF1F3864"/>
      <name val="Arial"/>
    </font>
    <font>
      <b/>
      <sz val="11.0"/>
      <color theme="1"/>
      <name val="Arial"/>
    </font>
    <font>
      <b/>
      <sz val="11.0"/>
      <color rgb="FF0000FF"/>
      <name val="Arial"/>
    </font>
    <font/>
    <font>
      <i/>
      <sz val="9.0"/>
      <color theme="1"/>
      <name val="Arial"/>
    </font>
    <font>
      <i/>
      <sz val="9.0"/>
      <color rgb="FFC00000"/>
      <name val="Arial"/>
    </font>
    <font>
      <b/>
      <sz val="11.0"/>
      <color rgb="FFFFFFFF"/>
      <name val="Arial"/>
    </font>
    <font>
      <sz val="11.0"/>
      <color rgb="FF0000FF"/>
      <name val="Arial"/>
    </font>
    <font>
      <sz val="11.0"/>
      <color theme="1"/>
      <name val="Arial"/>
    </font>
    <font>
      <b/>
      <sz val="9.0"/>
      <color theme="1"/>
      <name val="Arial"/>
    </font>
    <font>
      <i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3" fontId="7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4" fillId="0" fontId="9" numFmtId="9" xfId="0" applyAlignment="1" applyBorder="1" applyFont="1" applyNumberFormat="1">
      <alignment horizontal="center" shrinkToFit="0" vertical="bottom" wrapText="0"/>
    </xf>
    <xf borderId="4" fillId="4" fontId="2" numFmtId="0" xfId="0" applyAlignment="1" applyBorder="1" applyFill="1" applyFont="1">
      <alignment shrinkToFit="0" vertical="bottom" wrapText="0"/>
    </xf>
    <xf borderId="4" fillId="4" fontId="10" numFmtId="0" xfId="0" applyAlignment="1" applyBorder="1" applyFill="1" applyFont="1">
      <alignment horizontal="center" shrinkToFit="0" vertical="bottom" wrapText="0"/>
    </xf>
    <xf borderId="4" fillId="4" fontId="10" numFmtId="9" xfId="0" applyAlignment="1" applyBorder="1" applyFill="1" applyFont="1" applyNumberForma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4" fillId="3" fontId="7" numFmtId="0" xfId="0" applyAlignment="1" applyBorder="1" applyFill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2" numFmtId="1" xfId="0" applyAlignment="1" applyBorder="1" applyFont="1" applyNumberFormat="1">
      <alignment horizontal="left" shrinkToFit="0" vertical="bottom" wrapText="0"/>
    </xf>
    <xf borderId="4" fillId="0" fontId="2" numFmtId="164" xfId="0" applyAlignment="1" applyBorder="1" applyFont="1" applyNumberFormat="1">
      <alignment horizontal="left" shrinkToFit="0" vertical="bottom" wrapText="0"/>
    </xf>
    <xf borderId="4" fillId="0" fontId="2" numFmtId="49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Completion % by habit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Series1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Tracker!$A$6:$A$13</c:f>
            </c:strRef>
          </c:cat>
          <c:val>
            <c:numRef>
              <c:f>Tracker!$AH$6:$AH$13</c:f>
              <c:numCache/>
            </c:numRef>
          </c:val>
        </c:ser>
        <c:axId val="348027837"/>
        <c:axId val="1388855426"/>
      </c:barChart>
      <c:catAx>
        <c:axId val="3480278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8855426"/>
      </c:catAx>
      <c:valAx>
        <c:axId val="1388855426"/>
        <c:scaling>
          <c:orientation val="minMax"/>
          <c:max val="1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8027837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Habits done each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Series1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Tracker!$B$5:$AE$5</c:f>
            </c:strRef>
          </c:cat>
          <c:val>
            <c:numRef>
              <c:f>Tracker!$B$14:$AE$14</c:f>
              <c:numCache/>
            </c:numRef>
          </c:val>
          <c:smooth val="0"/>
        </c:ser>
        <c:axId val="1806958600"/>
        <c:axId val="334775054"/>
      </c:lineChart>
      <c:catAx>
        <c:axId val="1806958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 of the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4775054"/>
      </c:catAx>
      <c:valAx>
        <c:axId val="334775054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Habits done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6958600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95250</xdr:rowOff>
    </xdr:from>
    <xdr:ext cx="5476875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95250</xdr:rowOff>
    </xdr:from>
    <xdr:ext cx="5476875" cy="3209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4.0"/>
    <col customWidth="1" min="2" max="31" width="5.29"/>
    <col customWidth="1" min="32" max="33" width="10.0"/>
    <col customWidth="1" min="34" max="34" width="12.0"/>
    <col customWidth="1" min="35" max="35" width="13.0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4"/>
      <c r="E2" s="4"/>
      <c r="F2" s="5"/>
    </row>
    <row r="3">
      <c r="A3" s="6" t="s">
        <v>3</v>
      </c>
    </row>
    <row r="4">
      <c r="A4" s="7" t="s">
        <v>4</v>
      </c>
    </row>
    <row r="5" ht="30.0" customHeight="1">
      <c r="A5" s="8" t="s">
        <v>5</v>
      </c>
      <c r="B5" s="8">
        <v>1.0</v>
      </c>
      <c r="C5" s="8">
        <v>2.0</v>
      </c>
      <c r="D5" s="8">
        <v>3.0</v>
      </c>
      <c r="E5" s="8">
        <v>4.0</v>
      </c>
      <c r="F5" s="8">
        <v>5.0</v>
      </c>
      <c r="G5" s="8">
        <v>6.0</v>
      </c>
      <c r="H5" s="8">
        <v>7.0</v>
      </c>
      <c r="I5" s="8">
        <v>8.0</v>
      </c>
      <c r="J5" s="8">
        <v>9.0</v>
      </c>
      <c r="K5" s="8">
        <v>10.0</v>
      </c>
      <c r="L5" s="8">
        <v>11.0</v>
      </c>
      <c r="M5" s="8">
        <v>12.0</v>
      </c>
      <c r="N5" s="8">
        <v>13.0</v>
      </c>
      <c r="O5" s="8">
        <v>14.0</v>
      </c>
      <c r="P5" s="8">
        <v>15.0</v>
      </c>
      <c r="Q5" s="8">
        <v>16.0</v>
      </c>
      <c r="R5" s="8">
        <v>17.0</v>
      </c>
      <c r="S5" s="8">
        <v>18.0</v>
      </c>
      <c r="T5" s="8">
        <v>19.0</v>
      </c>
      <c r="U5" s="8">
        <v>20.0</v>
      </c>
      <c r="V5" s="8">
        <v>21.0</v>
      </c>
      <c r="W5" s="8">
        <v>22.0</v>
      </c>
      <c r="X5" s="8">
        <v>23.0</v>
      </c>
      <c r="Y5" s="8">
        <v>24.0</v>
      </c>
      <c r="Z5" s="8">
        <v>25.0</v>
      </c>
      <c r="AA5" s="8">
        <v>26.0</v>
      </c>
      <c r="AB5" s="8">
        <v>27.0</v>
      </c>
      <c r="AC5" s="8">
        <v>28.0</v>
      </c>
      <c r="AD5" s="8">
        <v>29.0</v>
      </c>
      <c r="AE5" s="8">
        <v>30.0</v>
      </c>
      <c r="AF5" s="8" t="s">
        <v>6</v>
      </c>
      <c r="AG5" s="8" t="s">
        <v>7</v>
      </c>
      <c r="AH5" s="8" t="s">
        <v>8</v>
      </c>
      <c r="AI5" s="8" t="s">
        <v>9</v>
      </c>
    </row>
    <row r="6">
      <c r="A6" s="9" t="s">
        <v>10</v>
      </c>
      <c r="B6" s="10">
        <v>1.0</v>
      </c>
      <c r="C6" s="10">
        <v>1.0</v>
      </c>
      <c r="D6" s="10">
        <v>1.0</v>
      </c>
      <c r="E6" s="10">
        <v>0.0</v>
      </c>
      <c r="F6" s="10">
        <v>1.0</v>
      </c>
      <c r="G6" s="10">
        <v>0.0</v>
      </c>
      <c r="H6" s="10">
        <v>1.0</v>
      </c>
      <c r="I6" s="10">
        <v>1.0</v>
      </c>
      <c r="J6" s="10">
        <v>0.0</v>
      </c>
      <c r="K6" s="10">
        <v>1.0</v>
      </c>
      <c r="L6" s="10">
        <v>0.0</v>
      </c>
      <c r="M6" s="10">
        <v>1.0</v>
      </c>
      <c r="N6" s="10">
        <v>1.0</v>
      </c>
      <c r="O6" s="10">
        <v>1.0</v>
      </c>
      <c r="P6" s="10">
        <v>1.0</v>
      </c>
      <c r="Q6" s="10">
        <v>1.0</v>
      </c>
      <c r="R6" s="10">
        <v>1.0</v>
      </c>
      <c r="S6" s="10">
        <v>1.0</v>
      </c>
      <c r="T6" s="10">
        <v>1.0</v>
      </c>
      <c r="U6" s="10">
        <v>0.0</v>
      </c>
      <c r="V6" s="10">
        <v>1.0</v>
      </c>
      <c r="W6" s="10">
        <v>1.0</v>
      </c>
      <c r="X6" s="10">
        <v>1.0</v>
      </c>
      <c r="Y6" s="10">
        <v>1.0</v>
      </c>
      <c r="Z6" s="10">
        <v>1.0</v>
      </c>
      <c r="AA6" s="10">
        <v>1.0</v>
      </c>
      <c r="AB6" s="10">
        <v>1.0</v>
      </c>
      <c r="AC6" s="10">
        <v>0.0</v>
      </c>
      <c r="AD6" s="10">
        <v>1.0</v>
      </c>
      <c r="AE6" s="10">
        <v>1.0</v>
      </c>
      <c r="AF6" s="11">
        <f t="shared" ref="AF6:AF13" si="1">SUM(B6:AE6)</f>
        <v>24</v>
      </c>
      <c r="AG6" s="11">
        <f t="shared" ref="AG6:AG13" si="2">COUNT(B6:AE6)</f>
        <v>30</v>
      </c>
      <c r="AH6" s="12">
        <f t="shared" ref="AH6:AH13" si="3">IF(AG6=0,0,AF6/AG6)</f>
        <v>0.8</v>
      </c>
      <c r="AI6" s="11" t="str">
        <f t="shared" ref="AI6:AI13" si="4">IF(AG6=0,"-",IF(AH6&gt;=0.8,"Excellent",IF(AH6&gt;=0.5,"Good","Needs work")))</f>
        <v>Excellent</v>
      </c>
    </row>
    <row r="7">
      <c r="A7" s="9" t="s">
        <v>11</v>
      </c>
      <c r="B7" s="10">
        <v>0.0</v>
      </c>
      <c r="C7" s="10">
        <v>0.0</v>
      </c>
      <c r="D7" s="10">
        <v>1.0</v>
      </c>
      <c r="E7" s="10">
        <v>0.0</v>
      </c>
      <c r="F7" s="10">
        <v>1.0</v>
      </c>
      <c r="G7" s="10">
        <v>0.0</v>
      </c>
      <c r="H7" s="10">
        <v>1.0</v>
      </c>
      <c r="I7" s="10">
        <v>0.0</v>
      </c>
      <c r="J7" s="10">
        <v>0.0</v>
      </c>
      <c r="K7" s="10">
        <v>0.0</v>
      </c>
      <c r="L7" s="10">
        <v>0.0</v>
      </c>
      <c r="M7" s="10">
        <v>1.0</v>
      </c>
      <c r="N7" s="10">
        <v>1.0</v>
      </c>
      <c r="O7" s="10">
        <v>1.0</v>
      </c>
      <c r="P7" s="10">
        <v>1.0</v>
      </c>
      <c r="Q7" s="10">
        <v>1.0</v>
      </c>
      <c r="R7" s="10">
        <v>1.0</v>
      </c>
      <c r="S7" s="10">
        <v>0.0</v>
      </c>
      <c r="T7" s="10">
        <v>1.0</v>
      </c>
      <c r="U7" s="10">
        <v>0.0</v>
      </c>
      <c r="V7" s="10">
        <v>1.0</v>
      </c>
      <c r="W7" s="10">
        <v>1.0</v>
      </c>
      <c r="X7" s="10">
        <v>0.0</v>
      </c>
      <c r="Y7" s="10">
        <v>1.0</v>
      </c>
      <c r="Z7" s="10">
        <v>1.0</v>
      </c>
      <c r="AA7" s="10">
        <v>1.0</v>
      </c>
      <c r="AB7" s="10">
        <v>0.0</v>
      </c>
      <c r="AC7" s="10">
        <v>1.0</v>
      </c>
      <c r="AD7" s="10">
        <v>0.0</v>
      </c>
      <c r="AE7" s="10">
        <v>1.0</v>
      </c>
      <c r="AF7" s="11">
        <f t="shared" si="1"/>
        <v>17</v>
      </c>
      <c r="AG7" s="11">
        <f t="shared" si="2"/>
        <v>30</v>
      </c>
      <c r="AH7" s="12">
        <f t="shared" si="3"/>
        <v>0.5666666667</v>
      </c>
      <c r="AI7" s="11" t="str">
        <f t="shared" si="4"/>
        <v>Good</v>
      </c>
    </row>
    <row r="8">
      <c r="A8" s="9" t="s">
        <v>12</v>
      </c>
      <c r="B8" s="10">
        <v>0.0</v>
      </c>
      <c r="C8" s="10">
        <v>0.0</v>
      </c>
      <c r="D8" s="10">
        <v>1.0</v>
      </c>
      <c r="E8" s="10">
        <v>0.0</v>
      </c>
      <c r="F8" s="10">
        <v>1.0</v>
      </c>
      <c r="G8" s="10">
        <v>0.0</v>
      </c>
      <c r="H8" s="10">
        <v>1.0</v>
      </c>
      <c r="I8" s="10">
        <v>1.0</v>
      </c>
      <c r="J8" s="10">
        <v>1.0</v>
      </c>
      <c r="K8" s="10">
        <v>0.0</v>
      </c>
      <c r="L8" s="10">
        <v>1.0</v>
      </c>
      <c r="M8" s="10">
        <v>0.0</v>
      </c>
      <c r="N8" s="10">
        <v>0.0</v>
      </c>
      <c r="O8" s="10">
        <v>0.0</v>
      </c>
      <c r="P8" s="10">
        <v>1.0</v>
      </c>
      <c r="Q8" s="10">
        <v>1.0</v>
      </c>
      <c r="R8" s="10">
        <v>0.0</v>
      </c>
      <c r="S8" s="10">
        <v>0.0</v>
      </c>
      <c r="T8" s="10">
        <v>1.0</v>
      </c>
      <c r="U8" s="10">
        <v>0.0</v>
      </c>
      <c r="V8" s="10">
        <v>0.0</v>
      </c>
      <c r="W8" s="10">
        <v>0.0</v>
      </c>
      <c r="X8" s="10">
        <v>1.0</v>
      </c>
      <c r="Y8" s="10">
        <v>0.0</v>
      </c>
      <c r="Z8" s="10">
        <v>1.0</v>
      </c>
      <c r="AA8" s="10">
        <v>1.0</v>
      </c>
      <c r="AB8" s="10">
        <v>0.0</v>
      </c>
      <c r="AC8" s="10">
        <v>0.0</v>
      </c>
      <c r="AD8" s="10">
        <v>1.0</v>
      </c>
      <c r="AE8" s="10">
        <v>0.0</v>
      </c>
      <c r="AF8" s="11">
        <f t="shared" si="1"/>
        <v>13</v>
      </c>
      <c r="AG8" s="11">
        <f t="shared" si="2"/>
        <v>30</v>
      </c>
      <c r="AH8" s="12">
        <f t="shared" si="3"/>
        <v>0.4333333333</v>
      </c>
      <c r="AI8" s="11" t="str">
        <f t="shared" si="4"/>
        <v>Needs work</v>
      </c>
    </row>
    <row r="9">
      <c r="A9" s="9" t="s">
        <v>13</v>
      </c>
      <c r="B9" s="10">
        <v>0.0</v>
      </c>
      <c r="C9" s="10">
        <v>1.0</v>
      </c>
      <c r="D9" s="10">
        <v>1.0</v>
      </c>
      <c r="E9" s="10">
        <v>1.0</v>
      </c>
      <c r="F9" s="10">
        <v>1.0</v>
      </c>
      <c r="G9" s="10">
        <v>1.0</v>
      </c>
      <c r="H9" s="10">
        <v>0.0</v>
      </c>
      <c r="I9" s="10">
        <v>0.0</v>
      </c>
      <c r="J9" s="10">
        <v>1.0</v>
      </c>
      <c r="K9" s="10">
        <v>1.0</v>
      </c>
      <c r="L9" s="10">
        <v>0.0</v>
      </c>
      <c r="M9" s="10">
        <v>0.0</v>
      </c>
      <c r="N9" s="10">
        <v>0.0</v>
      </c>
      <c r="O9" s="10">
        <v>1.0</v>
      </c>
      <c r="P9" s="10">
        <v>0.0</v>
      </c>
      <c r="Q9" s="10">
        <v>0.0</v>
      </c>
      <c r="R9" s="10">
        <v>0.0</v>
      </c>
      <c r="S9" s="10">
        <v>0.0</v>
      </c>
      <c r="T9" s="10">
        <v>1.0</v>
      </c>
      <c r="U9" s="10">
        <v>0.0</v>
      </c>
      <c r="V9" s="10">
        <v>1.0</v>
      </c>
      <c r="W9" s="10">
        <v>0.0</v>
      </c>
      <c r="X9" s="10">
        <v>0.0</v>
      </c>
      <c r="Y9" s="10">
        <v>1.0</v>
      </c>
      <c r="Z9" s="10">
        <v>0.0</v>
      </c>
      <c r="AA9" s="10">
        <v>0.0</v>
      </c>
      <c r="AB9" s="10">
        <v>0.0</v>
      </c>
      <c r="AC9" s="10">
        <v>0.0</v>
      </c>
      <c r="AD9" s="10">
        <v>1.0</v>
      </c>
      <c r="AE9" s="10">
        <v>0.0</v>
      </c>
      <c r="AF9" s="11">
        <f t="shared" si="1"/>
        <v>12</v>
      </c>
      <c r="AG9" s="11">
        <f t="shared" si="2"/>
        <v>30</v>
      </c>
      <c r="AH9" s="12">
        <f t="shared" si="3"/>
        <v>0.4</v>
      </c>
      <c r="AI9" s="11" t="str">
        <f t="shared" si="4"/>
        <v>Needs work</v>
      </c>
    </row>
    <row r="10">
      <c r="A10" s="9" t="s">
        <v>14</v>
      </c>
      <c r="B10" s="10">
        <v>1.0</v>
      </c>
      <c r="C10" s="10">
        <v>0.0</v>
      </c>
      <c r="D10" s="10">
        <v>1.0</v>
      </c>
      <c r="E10" s="10">
        <v>1.0</v>
      </c>
      <c r="F10" s="10">
        <v>0.0</v>
      </c>
      <c r="G10" s="10">
        <v>0.0</v>
      </c>
      <c r="H10" s="10">
        <v>0.0</v>
      </c>
      <c r="I10" s="10">
        <v>1.0</v>
      </c>
      <c r="J10" s="10">
        <v>1.0</v>
      </c>
      <c r="K10" s="10">
        <v>0.0</v>
      </c>
      <c r="L10" s="10">
        <v>1.0</v>
      </c>
      <c r="M10" s="10">
        <v>1.0</v>
      </c>
      <c r="N10" s="10">
        <v>1.0</v>
      </c>
      <c r="O10" s="10">
        <v>1.0</v>
      </c>
      <c r="P10" s="10">
        <v>1.0</v>
      </c>
      <c r="Q10" s="10">
        <v>0.0</v>
      </c>
      <c r="R10" s="10">
        <v>0.0</v>
      </c>
      <c r="S10" s="10">
        <v>0.0</v>
      </c>
      <c r="T10" s="10">
        <v>1.0</v>
      </c>
      <c r="U10" s="10">
        <v>1.0</v>
      </c>
      <c r="V10" s="10">
        <v>1.0</v>
      </c>
      <c r="W10" s="10">
        <v>1.0</v>
      </c>
      <c r="X10" s="10">
        <v>0.0</v>
      </c>
      <c r="Y10" s="10">
        <v>0.0</v>
      </c>
      <c r="Z10" s="10">
        <v>1.0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1">
        <f t="shared" si="1"/>
        <v>15</v>
      </c>
      <c r="AG10" s="11">
        <f t="shared" si="2"/>
        <v>30</v>
      </c>
      <c r="AH10" s="12">
        <f t="shared" si="3"/>
        <v>0.5</v>
      </c>
      <c r="AI10" s="11" t="str">
        <f t="shared" si="4"/>
        <v>Good</v>
      </c>
    </row>
    <row r="11">
      <c r="A11" s="9" t="s">
        <v>15</v>
      </c>
      <c r="B11" s="10">
        <v>1.0</v>
      </c>
      <c r="C11" s="10">
        <v>1.0</v>
      </c>
      <c r="D11" s="10">
        <v>1.0</v>
      </c>
      <c r="E11" s="10">
        <v>1.0</v>
      </c>
      <c r="F11" s="10">
        <v>1.0</v>
      </c>
      <c r="G11" s="10">
        <v>1.0</v>
      </c>
      <c r="H11" s="10">
        <v>1.0</v>
      </c>
      <c r="I11" s="10">
        <v>0.0</v>
      </c>
      <c r="J11" s="10">
        <v>1.0</v>
      </c>
      <c r="K11" s="10">
        <v>1.0</v>
      </c>
      <c r="L11" s="10">
        <v>1.0</v>
      </c>
      <c r="M11" s="10">
        <v>1.0</v>
      </c>
      <c r="N11" s="10">
        <v>1.0</v>
      </c>
      <c r="O11" s="10">
        <v>1.0</v>
      </c>
      <c r="P11" s="10">
        <v>1.0</v>
      </c>
      <c r="Q11" s="10">
        <v>0.0</v>
      </c>
      <c r="R11" s="10">
        <v>1.0</v>
      </c>
      <c r="S11" s="10">
        <v>1.0</v>
      </c>
      <c r="T11" s="10">
        <v>1.0</v>
      </c>
      <c r="U11" s="10">
        <v>1.0</v>
      </c>
      <c r="V11" s="10">
        <v>1.0</v>
      </c>
      <c r="W11" s="10">
        <v>0.0</v>
      </c>
      <c r="X11" s="10">
        <v>1.0</v>
      </c>
      <c r="Y11" s="10">
        <v>0.0</v>
      </c>
      <c r="Z11" s="10">
        <v>0.0</v>
      </c>
      <c r="AA11" s="10">
        <v>1.0</v>
      </c>
      <c r="AB11" s="10">
        <v>0.0</v>
      </c>
      <c r="AC11" s="10">
        <v>0.0</v>
      </c>
      <c r="AD11" s="10">
        <v>1.0</v>
      </c>
      <c r="AE11" s="10">
        <v>1.0</v>
      </c>
      <c r="AF11" s="11">
        <f t="shared" si="1"/>
        <v>23</v>
      </c>
      <c r="AG11" s="11">
        <f t="shared" si="2"/>
        <v>30</v>
      </c>
      <c r="AH11" s="12">
        <f t="shared" si="3"/>
        <v>0.7666666667</v>
      </c>
      <c r="AI11" s="11" t="str">
        <f t="shared" si="4"/>
        <v>Good</v>
      </c>
    </row>
    <row r="12">
      <c r="A12" s="9" t="s">
        <v>16</v>
      </c>
      <c r="B12" s="10">
        <v>1.0</v>
      </c>
      <c r="C12" s="10">
        <v>0.0</v>
      </c>
      <c r="D12" s="10">
        <v>0.0</v>
      </c>
      <c r="E12" s="10">
        <v>1.0</v>
      </c>
      <c r="F12" s="10">
        <v>0.0</v>
      </c>
      <c r="G12" s="10">
        <v>0.0</v>
      </c>
      <c r="H12" s="10">
        <v>0.0</v>
      </c>
      <c r="I12" s="10">
        <v>1.0</v>
      </c>
      <c r="J12" s="10">
        <v>0.0</v>
      </c>
      <c r="K12" s="10">
        <v>1.0</v>
      </c>
      <c r="L12" s="10">
        <v>0.0</v>
      </c>
      <c r="M12" s="10">
        <v>1.0</v>
      </c>
      <c r="N12" s="10">
        <v>1.0</v>
      </c>
      <c r="O12" s="10">
        <v>0.0</v>
      </c>
      <c r="P12" s="10">
        <v>1.0</v>
      </c>
      <c r="Q12" s="10">
        <v>0.0</v>
      </c>
      <c r="R12" s="10">
        <v>1.0</v>
      </c>
      <c r="S12" s="10">
        <v>1.0</v>
      </c>
      <c r="T12" s="10">
        <v>1.0</v>
      </c>
      <c r="U12" s="10">
        <v>0.0</v>
      </c>
      <c r="V12" s="10">
        <v>1.0</v>
      </c>
      <c r="W12" s="10">
        <v>0.0</v>
      </c>
      <c r="X12" s="10">
        <v>1.0</v>
      </c>
      <c r="Y12" s="10">
        <v>1.0</v>
      </c>
      <c r="Z12" s="10">
        <v>1.0</v>
      </c>
      <c r="AA12" s="10">
        <v>1.0</v>
      </c>
      <c r="AB12" s="10">
        <v>1.0</v>
      </c>
      <c r="AC12" s="10">
        <v>1.0</v>
      </c>
      <c r="AD12" s="10">
        <v>1.0</v>
      </c>
      <c r="AE12" s="10">
        <v>1.0</v>
      </c>
      <c r="AF12" s="11">
        <f t="shared" si="1"/>
        <v>19</v>
      </c>
      <c r="AG12" s="11">
        <f t="shared" si="2"/>
        <v>30</v>
      </c>
      <c r="AH12" s="12">
        <f t="shared" si="3"/>
        <v>0.6333333333</v>
      </c>
      <c r="AI12" s="11" t="str">
        <f t="shared" si="4"/>
        <v>Good</v>
      </c>
    </row>
    <row r="13">
      <c r="A13" s="9" t="s">
        <v>17</v>
      </c>
      <c r="B13" s="10">
        <v>1.0</v>
      </c>
      <c r="C13" s="10">
        <v>1.0</v>
      </c>
      <c r="D13" s="10">
        <v>1.0</v>
      </c>
      <c r="E13" s="10">
        <v>1.0</v>
      </c>
      <c r="F13" s="10">
        <v>1.0</v>
      </c>
      <c r="G13" s="10">
        <v>1.0</v>
      </c>
      <c r="H13" s="10">
        <v>1.0</v>
      </c>
      <c r="I13" s="10">
        <v>0.0</v>
      </c>
      <c r="J13" s="10">
        <v>1.0</v>
      </c>
      <c r="K13" s="10">
        <v>1.0</v>
      </c>
      <c r="L13" s="10">
        <v>1.0</v>
      </c>
      <c r="M13" s="10">
        <v>1.0</v>
      </c>
      <c r="N13" s="10">
        <v>1.0</v>
      </c>
      <c r="O13" s="10">
        <v>0.0</v>
      </c>
      <c r="P13" s="10">
        <v>1.0</v>
      </c>
      <c r="Q13" s="10">
        <v>1.0</v>
      </c>
      <c r="R13" s="10">
        <v>1.0</v>
      </c>
      <c r="S13" s="10">
        <v>1.0</v>
      </c>
      <c r="T13" s="10">
        <v>1.0</v>
      </c>
      <c r="U13" s="10">
        <v>1.0</v>
      </c>
      <c r="V13" s="10">
        <v>1.0</v>
      </c>
      <c r="W13" s="10">
        <v>0.0</v>
      </c>
      <c r="X13" s="10">
        <v>0.0</v>
      </c>
      <c r="Y13" s="10">
        <v>1.0</v>
      </c>
      <c r="Z13" s="10">
        <v>0.0</v>
      </c>
      <c r="AA13" s="10">
        <v>1.0</v>
      </c>
      <c r="AB13" s="10">
        <v>1.0</v>
      </c>
      <c r="AC13" s="10">
        <v>1.0</v>
      </c>
      <c r="AD13" s="10">
        <v>1.0</v>
      </c>
      <c r="AE13" s="10">
        <v>1.0</v>
      </c>
      <c r="AF13" s="11">
        <f t="shared" si="1"/>
        <v>25</v>
      </c>
      <c r="AG13" s="11">
        <f t="shared" si="2"/>
        <v>30</v>
      </c>
      <c r="AH13" s="12">
        <f t="shared" si="3"/>
        <v>0.8333333333</v>
      </c>
      <c r="AI13" s="11" t="str">
        <f t="shared" si="4"/>
        <v>Excellent</v>
      </c>
    </row>
    <row r="14">
      <c r="A14" s="13" t="s">
        <v>18</v>
      </c>
      <c r="B14" s="14">
        <f t="shared" ref="B14:AE14" si="5">SUM(B6:B13)</f>
        <v>5</v>
      </c>
      <c r="C14" s="14">
        <f t="shared" si="5"/>
        <v>4</v>
      </c>
      <c r="D14" s="14">
        <f t="shared" si="5"/>
        <v>7</v>
      </c>
      <c r="E14" s="14">
        <f t="shared" si="5"/>
        <v>5</v>
      </c>
      <c r="F14" s="14">
        <f t="shared" si="5"/>
        <v>6</v>
      </c>
      <c r="G14" s="14">
        <f t="shared" si="5"/>
        <v>3</v>
      </c>
      <c r="H14" s="14">
        <f t="shared" si="5"/>
        <v>5</v>
      </c>
      <c r="I14" s="14">
        <f t="shared" si="5"/>
        <v>4</v>
      </c>
      <c r="J14" s="14">
        <f t="shared" si="5"/>
        <v>5</v>
      </c>
      <c r="K14" s="14">
        <f t="shared" si="5"/>
        <v>5</v>
      </c>
      <c r="L14" s="14">
        <f t="shared" si="5"/>
        <v>4</v>
      </c>
      <c r="M14" s="14">
        <f t="shared" si="5"/>
        <v>6</v>
      </c>
      <c r="N14" s="14">
        <f t="shared" si="5"/>
        <v>6</v>
      </c>
      <c r="O14" s="14">
        <f t="shared" si="5"/>
        <v>5</v>
      </c>
      <c r="P14" s="14">
        <f t="shared" si="5"/>
        <v>7</v>
      </c>
      <c r="Q14" s="14">
        <f t="shared" si="5"/>
        <v>4</v>
      </c>
      <c r="R14" s="14">
        <f t="shared" si="5"/>
        <v>5</v>
      </c>
      <c r="S14" s="14">
        <f t="shared" si="5"/>
        <v>4</v>
      </c>
      <c r="T14" s="14">
        <f t="shared" si="5"/>
        <v>8</v>
      </c>
      <c r="U14" s="14">
        <f t="shared" si="5"/>
        <v>3</v>
      </c>
      <c r="V14" s="14">
        <f t="shared" si="5"/>
        <v>7</v>
      </c>
      <c r="W14" s="14">
        <f t="shared" si="5"/>
        <v>3</v>
      </c>
      <c r="X14" s="14">
        <f t="shared" si="5"/>
        <v>4</v>
      </c>
      <c r="Y14" s="14">
        <f t="shared" si="5"/>
        <v>5</v>
      </c>
      <c r="Z14" s="14">
        <f t="shared" si="5"/>
        <v>5</v>
      </c>
      <c r="AA14" s="14">
        <f t="shared" si="5"/>
        <v>6</v>
      </c>
      <c r="AB14" s="14">
        <f t="shared" si="5"/>
        <v>3</v>
      </c>
      <c r="AC14" s="14">
        <f t="shared" si="5"/>
        <v>3</v>
      </c>
      <c r="AD14" s="14">
        <f t="shared" si="5"/>
        <v>6</v>
      </c>
      <c r="AE14" s="14">
        <f t="shared" si="5"/>
        <v>5</v>
      </c>
    </row>
    <row r="15">
      <c r="A15" s="13" t="s">
        <v>19</v>
      </c>
      <c r="B15" s="15">
        <f t="shared" ref="B15:AE15" si="6">IF(COUNT(B6:B13)=0,0,B14/COUNT(B6:B13))</f>
        <v>0.625</v>
      </c>
      <c r="C15" s="15">
        <f t="shared" si="6"/>
        <v>0.5</v>
      </c>
      <c r="D15" s="15">
        <f t="shared" si="6"/>
        <v>0.875</v>
      </c>
      <c r="E15" s="15">
        <f t="shared" si="6"/>
        <v>0.625</v>
      </c>
      <c r="F15" s="15">
        <f t="shared" si="6"/>
        <v>0.75</v>
      </c>
      <c r="G15" s="15">
        <f t="shared" si="6"/>
        <v>0.375</v>
      </c>
      <c r="H15" s="15">
        <f t="shared" si="6"/>
        <v>0.625</v>
      </c>
      <c r="I15" s="15">
        <f t="shared" si="6"/>
        <v>0.5</v>
      </c>
      <c r="J15" s="15">
        <f t="shared" si="6"/>
        <v>0.625</v>
      </c>
      <c r="K15" s="15">
        <f t="shared" si="6"/>
        <v>0.625</v>
      </c>
      <c r="L15" s="15">
        <f t="shared" si="6"/>
        <v>0.5</v>
      </c>
      <c r="M15" s="15">
        <f t="shared" si="6"/>
        <v>0.75</v>
      </c>
      <c r="N15" s="15">
        <f t="shared" si="6"/>
        <v>0.75</v>
      </c>
      <c r="O15" s="15">
        <f t="shared" si="6"/>
        <v>0.625</v>
      </c>
      <c r="P15" s="15">
        <f t="shared" si="6"/>
        <v>0.875</v>
      </c>
      <c r="Q15" s="15">
        <f t="shared" si="6"/>
        <v>0.5</v>
      </c>
      <c r="R15" s="15">
        <f t="shared" si="6"/>
        <v>0.625</v>
      </c>
      <c r="S15" s="15">
        <f t="shared" si="6"/>
        <v>0.5</v>
      </c>
      <c r="T15" s="15">
        <f t="shared" si="6"/>
        <v>1</v>
      </c>
      <c r="U15" s="15">
        <f t="shared" si="6"/>
        <v>0.375</v>
      </c>
      <c r="V15" s="15">
        <f t="shared" si="6"/>
        <v>0.875</v>
      </c>
      <c r="W15" s="15">
        <f t="shared" si="6"/>
        <v>0.375</v>
      </c>
      <c r="X15" s="15">
        <f t="shared" si="6"/>
        <v>0.5</v>
      </c>
      <c r="Y15" s="15">
        <f t="shared" si="6"/>
        <v>0.625</v>
      </c>
      <c r="Z15" s="15">
        <f t="shared" si="6"/>
        <v>0.625</v>
      </c>
      <c r="AA15" s="15">
        <f t="shared" si="6"/>
        <v>0.75</v>
      </c>
      <c r="AB15" s="15">
        <f t="shared" si="6"/>
        <v>0.375</v>
      </c>
      <c r="AC15" s="15">
        <f t="shared" si="6"/>
        <v>0.375</v>
      </c>
      <c r="AD15" s="15">
        <f t="shared" si="6"/>
        <v>0.75</v>
      </c>
      <c r="AE15" s="15">
        <f t="shared" si="6"/>
        <v>0.625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conditionalFormatting sqref="B6:AE13">
    <cfRule type="cellIs" dxfId="0" priority="1" operator="equal">
      <formula>1</formula>
    </cfRule>
  </conditionalFormatting>
  <conditionalFormatting sqref="B6:AE13">
    <cfRule type="cellIs" dxfId="1" priority="2" operator="equal">
      <formula>0</formula>
    </cfRule>
  </conditionalFormatting>
  <dataValidations>
    <dataValidation type="list" allowBlank="1" showInputMessage="1" showErrorMessage="1" prompt="Use 1 or 0 - Type 1 (done) or 0 (missed)." sqref="B6:AE13">
      <formula1>"1,0"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4.0"/>
    <col customWidth="1" min="3" max="26" width="8.71"/>
  </cols>
  <sheetData>
    <row r="1">
      <c r="A1" s="1" t="s">
        <v>20</v>
      </c>
    </row>
    <row r="2">
      <c r="A2" s="16" t="str">
        <f>"Month: "&amp;Tracker!B2</f>
        <v>Month: September 2026</v>
      </c>
    </row>
    <row r="4">
      <c r="A4" s="17" t="s">
        <v>21</v>
      </c>
      <c r="B4" s="17" t="s">
        <v>22</v>
      </c>
    </row>
    <row r="5">
      <c r="A5" s="18" t="s">
        <v>23</v>
      </c>
      <c r="B5" s="19">
        <f>COUNTA(Tracker!$A$6:$A$13)</f>
        <v>8</v>
      </c>
    </row>
    <row r="6">
      <c r="A6" s="18" t="s">
        <v>24</v>
      </c>
      <c r="B6" s="20">
        <f>IF(SUM(Tracker!AG6:AG13)=0,0,SUM(Tracker!AF6:AF13)/SUM(Tracker!AG6:AG13))</f>
        <v>0.6166666667</v>
      </c>
    </row>
    <row r="7">
      <c r="A7" s="18" t="s">
        <v>25</v>
      </c>
      <c r="B7" s="21" t="str">
        <f t="array" ref="B7">INDEX(Tracker!$A$6:$A$13,MATCH(MAX(Tracker!$AH$6:$AH$13),Tracker!$AH$6:$AH$13,0))</f>
        <v>Walk 5000 steps</v>
      </c>
    </row>
    <row r="8">
      <c r="A8" s="18" t="s">
        <v>26</v>
      </c>
      <c r="B8" s="20">
        <f>MAX(Tracker!$AH$6:$AH$13)</f>
        <v>0.8333333333</v>
      </c>
    </row>
    <row r="9">
      <c r="A9" s="18" t="s">
        <v>27</v>
      </c>
      <c r="B9" s="21" t="str">
        <f t="array" ref="B9">INDEX(Tracker!$A$6:$A$13,MATCH(MIN(Tracker!$AH$6:$AH$13),Tracker!$AH$6:$AH$13,0))</f>
        <v>Meditate 10 min</v>
      </c>
    </row>
    <row r="10">
      <c r="A10" s="18" t="s">
        <v>28</v>
      </c>
      <c r="B10" s="20">
        <f>MIN(Tracker!$AH$6:$AH$13)</f>
        <v>0.4</v>
      </c>
    </row>
    <row r="11">
      <c r="A11" s="18" t="s">
        <v>29</v>
      </c>
      <c r="B11" s="19">
        <f t="array" ref="B11">INDEX(Tracker!$B$5:$AE$5,MATCH(MAX(Tracker!$B$14:$AE$14),Tracker!$B$14:$AE$14,0))</f>
        <v>19</v>
      </c>
    </row>
    <row r="12">
      <c r="A12" s="18" t="s">
        <v>30</v>
      </c>
      <c r="B12" s="19">
        <f>COUNTIF(Tracker!$B$14:$AE$14,COUNTA(Tracker!$A$6:$A$13))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