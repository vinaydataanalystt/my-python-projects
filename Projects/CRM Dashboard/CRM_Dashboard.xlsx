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true" localSheetId="1" name="_xlnm._FilterDatabase" vbProcedure="false">Data!$A$1:$K$61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<sst xmlns="http://schemas.openxmlformats.org/spreadsheetml/2006/main" count="427" uniqueCount="164">
  <si>
    <t xml:space="preserve">CRM Sales Dashboard</t>
  </si>
  <si>
    <t xml:space="preserve">All numbers update automatically from the Data sheet. Add or change leads there.</t>
  </si>
  <si>
    <t xml:space="preserve">TOTAL LEADS</t>
  </si>
  <si>
    <t xml:space="preserve">OPEN DEALS</t>
  </si>
  <si>
    <t xml:space="preserve">DEALS WON</t>
  </si>
  <si>
    <t xml:space="preserve">WIN RATE (Won / Won + Lost)</t>
  </si>
  <si>
    <t xml:space="preserve">REVENUE WON (Rs)</t>
  </si>
  <si>
    <t xml:space="preserve">OPEN PIPELINE VALUE (Rs)</t>
  </si>
  <si>
    <t xml:space="preserve">AVERAGE WON DEAL (Rs)</t>
  </si>
  <si>
    <t xml:space="preserve">FOLLOW-UPS NEEDED</t>
  </si>
  <si>
    <t xml:space="preserve">Leads by Stage</t>
  </si>
  <si>
    <t xml:space="preserve">Stage</t>
  </si>
  <si>
    <t xml:space="preserve">Leads</t>
  </si>
  <si>
    <t xml:space="preserve">Deal Value (Rs)</t>
  </si>
  <si>
    <t xml:space="preserve">New</t>
  </si>
  <si>
    <t xml:space="preserve">Contacted</t>
  </si>
  <si>
    <t xml:space="preserve">Proposal Sent</t>
  </si>
  <si>
    <t xml:space="preserve">Negotiation</t>
  </si>
  <si>
    <t xml:space="preserve">Won</t>
  </si>
  <si>
    <t xml:space="preserve">Lost</t>
  </si>
  <si>
    <t xml:space="preserve">Leads by Source</t>
  </si>
  <si>
    <t xml:space="preserve">Source</t>
  </si>
  <si>
    <t xml:space="preserve">Conversion %</t>
  </si>
  <si>
    <t xml:space="preserve">Website</t>
  </si>
  <si>
    <t xml:space="preserve">Referral</t>
  </si>
  <si>
    <t xml:space="preserve">LinkedIn</t>
  </si>
  <si>
    <t xml:space="preserve">Email Campaign</t>
  </si>
  <si>
    <t xml:space="preserve">Cold Call</t>
  </si>
  <si>
    <t xml:space="preserve">Sales Rep Performance</t>
  </si>
  <si>
    <t xml:space="preserve">Sales Rep</t>
  </si>
  <si>
    <t xml:space="preserve">Revenue Won (Rs)</t>
  </si>
  <si>
    <t xml:space="preserve">Aarav Mehta</t>
  </si>
  <si>
    <t xml:space="preserve">Priya Nair</t>
  </si>
  <si>
    <t xml:space="preserve">Rohan Das</t>
  </si>
  <si>
    <t xml:space="preserve">Sneha Iyer</t>
  </si>
  <si>
    <t xml:space="preserve">Revenue by Region</t>
  </si>
  <si>
    <t xml:space="preserve">Region</t>
  </si>
  <si>
    <t xml:space="preserve">North</t>
  </si>
  <si>
    <t xml:space="preserve">South</t>
  </si>
  <si>
    <t xml:space="preserve">East</t>
  </si>
  <si>
    <t xml:space="preserve">West</t>
  </si>
  <si>
    <t xml:space="preserve">New Leads by Month</t>
  </si>
  <si>
    <t xml:space="preserve">Month</t>
  </si>
  <si>
    <t xml:space="preserve">New Leads</t>
  </si>
  <si>
    <t xml:space="preserve">Month start (helper)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</si>
  <si>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</si>
  <si>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</si>
  <si>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</si>
  <si>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</si>
  <si>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</si>
  <si>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Lead ID</t>
  </si>
  <si>
    <t xml:space="preserve">Customer</t>
  </si>
  <si>
    <t xml:space="preserve">Company</t>
  </si>
  <si>
    <t xml:space="preserve">Lead Source</t>
  </si>
  <si>
    <t xml:space="preserve">Created Date</t>
  </si>
  <si>
    <t xml:space="preserve">Last Contact</t>
  </si>
  <si>
    <t xml:space="preserve">Follow-up Needed</t>
  </si>
  <si>
    <t xml:space="preserve">Ritu Singh</t>
  </si>
  <si>
    <t xml:space="preserve">Bright Motors</t>
  </si>
  <si>
    <t xml:space="preserve">Meera Kumar</t>
  </si>
  <si>
    <t xml:space="preserve">Prime Foods</t>
  </si>
  <si>
    <t xml:space="preserve">Karthik Pillai</t>
  </si>
  <si>
    <t xml:space="preserve">Alpha Pharma</t>
  </si>
  <si>
    <t xml:space="preserve">Swati Kumar</t>
  </si>
  <si>
    <t xml:space="preserve">Rahul Gupta</t>
  </si>
  <si>
    <t xml:space="preserve">Metro Pharma</t>
  </si>
  <si>
    <t xml:space="preserve">Swati Sharma</t>
  </si>
  <si>
    <t xml:space="preserve">Zen Logistics</t>
  </si>
  <si>
    <t xml:space="preserve">Arjun Bose</t>
  </si>
  <si>
    <t xml:space="preserve">Blue Traders</t>
  </si>
  <si>
    <t xml:space="preserve">Karthik Joshi</t>
  </si>
  <si>
    <t xml:space="preserve">Alpha Textiles</t>
  </si>
  <si>
    <t xml:space="preserve">Vikram Sharma</t>
  </si>
  <si>
    <t xml:space="preserve">Zen Education</t>
  </si>
  <si>
    <t xml:space="preserve">Meera Nair</t>
  </si>
  <si>
    <t xml:space="preserve">Alpha Foods</t>
  </si>
  <si>
    <t xml:space="preserve">Lakshmi Nair</t>
  </si>
  <si>
    <t xml:space="preserve">Bright Education</t>
  </si>
  <si>
    <t xml:space="preserve">Suresh Pillai</t>
  </si>
  <si>
    <t xml:space="preserve">Prime Retail</t>
  </si>
  <si>
    <t xml:space="preserve">Divya Joshi</t>
  </si>
  <si>
    <t xml:space="preserve">Prime Logistics</t>
  </si>
  <si>
    <t xml:space="preserve">Lakshmi Sharma</t>
  </si>
  <si>
    <t xml:space="preserve">Nova Education</t>
  </si>
  <si>
    <t xml:space="preserve">Sanjay Reddy</t>
  </si>
  <si>
    <t xml:space="preserve">Blue Software</t>
  </si>
  <si>
    <t xml:space="preserve">Arjun Nair</t>
  </si>
  <si>
    <t xml:space="preserve">Green Retail</t>
  </si>
  <si>
    <t xml:space="preserve">Ganesh Sharma</t>
  </si>
  <si>
    <t xml:space="preserve">Pooja Reddy</t>
  </si>
  <si>
    <t xml:space="preserve">Green Traders</t>
  </si>
  <si>
    <t xml:space="preserve">Karthik Patel</t>
  </si>
  <si>
    <t xml:space="preserve">Alpha Education</t>
  </si>
  <si>
    <t xml:space="preserve">Sanjay Menon</t>
  </si>
  <si>
    <t xml:space="preserve">Blue Education</t>
  </si>
  <si>
    <t xml:space="preserve">Naveen Patel</t>
  </si>
  <si>
    <t xml:space="preserve">Prime Pharma</t>
  </si>
  <si>
    <t xml:space="preserve">Harish Singh</t>
  </si>
  <si>
    <t xml:space="preserve">Zen Motors</t>
  </si>
  <si>
    <t xml:space="preserve">Swati Rao</t>
  </si>
  <si>
    <t xml:space="preserve">Arjun Reddy</t>
  </si>
  <si>
    <t xml:space="preserve">Harish Nair</t>
  </si>
  <si>
    <t xml:space="preserve">Swift Motors</t>
  </si>
  <si>
    <t xml:space="preserve">Harish Patel</t>
  </si>
  <si>
    <t xml:space="preserve">Alpha Logistics</t>
  </si>
  <si>
    <t xml:space="preserve">Swati Pillai</t>
  </si>
  <si>
    <t xml:space="preserve">Naveen Nair</t>
  </si>
  <si>
    <t xml:space="preserve">Nova Foods</t>
  </si>
  <si>
    <t xml:space="preserve">Nisha Nair</t>
  </si>
  <si>
    <t xml:space="preserve">Prime Motors</t>
  </si>
  <si>
    <t xml:space="preserve">Ritu Pillai</t>
  </si>
  <si>
    <t xml:space="preserve">Prime Traders</t>
  </si>
  <si>
    <t xml:space="preserve">Nisha Bose</t>
  </si>
  <si>
    <t xml:space="preserve">Nova Logistics</t>
  </si>
  <si>
    <t xml:space="preserve">Kavya Nair</t>
  </si>
  <si>
    <t xml:space="preserve">Metro Retail</t>
  </si>
  <si>
    <t xml:space="preserve">Vikram Reddy</t>
  </si>
  <si>
    <t xml:space="preserve">Prime Education</t>
  </si>
  <si>
    <t xml:space="preserve">Meera Rao</t>
  </si>
  <si>
    <t xml:space="preserve">Metro Builders</t>
  </si>
  <si>
    <t xml:space="preserve">Deepa Menon</t>
  </si>
  <si>
    <t xml:space="preserve">Vikram Singh</t>
  </si>
  <si>
    <t xml:space="preserve">Blue Retail</t>
  </si>
  <si>
    <t xml:space="preserve">Arjun Pillai</t>
  </si>
  <si>
    <t xml:space="preserve">Green Foods</t>
  </si>
  <si>
    <t xml:space="preserve">Kavya Kumar</t>
  </si>
  <si>
    <t xml:space="preserve">Swift Education</t>
  </si>
  <si>
    <t xml:space="preserve">Ganesh Nair</t>
  </si>
  <si>
    <t xml:space="preserve">Kavya Bose</t>
  </si>
  <si>
    <t xml:space="preserve">Harish Reddy</t>
  </si>
  <si>
    <t xml:space="preserve">Nova Builders</t>
  </si>
  <si>
    <t xml:space="preserve">Rahul Rao</t>
  </si>
  <si>
    <t xml:space="preserve">Pooja Kumar</t>
  </si>
  <si>
    <t xml:space="preserve">Bright Pharma</t>
  </si>
  <si>
    <t xml:space="preserve">Rahul Reddy</t>
  </si>
  <si>
    <t xml:space="preserve">Metro Foods</t>
  </si>
  <si>
    <t xml:space="preserve">Suresh Gupta</t>
  </si>
  <si>
    <t xml:space="preserve">Bright Logistics</t>
  </si>
  <si>
    <t xml:space="preserve">Vikram Nair</t>
  </si>
  <si>
    <t xml:space="preserve">Sanjay Singh</t>
  </si>
  <si>
    <t xml:space="preserve">Anita Pillai</t>
  </si>
  <si>
    <t xml:space="preserve">Urban Traders</t>
  </si>
  <si>
    <t xml:space="preserve">Vikram Bose</t>
  </si>
  <si>
    <t xml:space="preserve">Urban Foods</t>
  </si>
  <si>
    <t xml:space="preserve">Nisha Patel</t>
  </si>
  <si>
    <t xml:space="preserve">Rahul Pillai</t>
  </si>
  <si>
    <t xml:space="preserve">Deepa Kumar</t>
  </si>
  <si>
    <t xml:space="preserve">Swift Traders</t>
  </si>
  <si>
    <t xml:space="preserve">Arjun Joshi</t>
  </si>
  <si>
    <t xml:space="preserve">Green Motors</t>
  </si>
  <si>
    <t xml:space="preserve">Harish Bose</t>
  </si>
  <si>
    <t xml:space="preserve">Blue Builders</t>
  </si>
  <si>
    <t xml:space="preserve">Harish Kumar</t>
  </si>
  <si>
    <t xml:space="preserve">Swift Builders</t>
  </si>
  <si>
    <t xml:space="preserve">Lakshmi Menon</t>
  </si>
  <si>
    <t xml:space="preserve">Swift Textiles</t>
  </si>
  <si>
    <t xml:space="preserve">Anita Reddy</t>
  </si>
  <si>
    <t xml:space="preserve">Bright Retail</t>
  </si>
  <si>
    <t xml:space="preserve">Manoj Joshi</t>
  </si>
  <si>
    <t xml:space="preserve">Alpha Traders</t>
  </si>
  <si>
    <t xml:space="preserve">Divya Singh</t>
  </si>
  <si>
    <t xml:space="preserve">Bright Traders</t>
  </si>
  <si>
    <t xml:space="preserve">Anita Kumar</t>
  </si>
  <si>
    <t xml:space="preserve">Zen Software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</si>
</sst>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&quot;Rs &quot;#,##0"/>
    <numFmt numFmtId="168" formatCode="#,##0"/>
    <numFmt numFmtId="169" formatCode="General"/>
    <numFmt numFmtId="170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C57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Dashboard!$A$13:$A$18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Proposal Sent</c:v>
                </c:pt>
                <c:pt idx="3">
                  <c:v>Negotiation</c:v>
                </c:pt>
                <c:pt idx="4">
                  <c:v>Won</c:v>
                </c:pt>
                <c:pt idx="5">
                  <c:v>Lost</c:v>
                </c:pt>
              </c:strCache>
            </c:strRef>
          </c:cat>
          <c:val>
            <c:numRef>
              <c:f>Dashboard!$B$13:$B$18</c:f>
              <c:numCache>
                <c:formatCode>0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97244028"/>
        <c:axId val="92644437"/>
      </c:barChart>
      <c:catAx>
        <c:axId val="97244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44437"/>
        <c:crosses val="autoZero"/>
        <c:auto val="1"/>
        <c:lblAlgn val="ctr"/>
        <c:lblOffset val="100"/>
        <c:noMultiLvlLbl val="0"/>
      </c:catAx>
      <c:valAx>
        <c:axId val="92644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44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Dashboard!$A$23:$A$27</c:f>
              <c:strCache>
                <c:ptCount val="5"/>
                <c:pt idx="0">
                  <c:v>Website</c:v>
                </c:pt>
                <c:pt idx="1">
                  <c:v>Referral</c:v>
                </c:pt>
                <c:pt idx="2">
                  <c:v>LinkedIn</c:v>
                </c:pt>
                <c:pt idx="3">
                  <c:v>Email Campaign</c:v>
                </c:pt>
                <c:pt idx="4">
                  <c:v>Cold Call</c:v>
                </c:pt>
              </c:strCache>
            </c:strRef>
          </c:cat>
          <c:val>
            <c:numRef>
              <c:f>Dashboard!$B$23:$B$27</c:f>
              <c:numCache>
                <c:formatCode>0</c:formatCode>
                <c:ptCount val="5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19</c:v>
                </c:pt>
                <c:pt idx="4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won by sales rep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Dashboard!$A$32:$A$35</c:f>
              <c:strCache>
                <c:ptCount val="4"/>
                <c:pt idx="0">
                  <c:v>Aarav Mehta</c:v>
                </c:pt>
                <c:pt idx="1">
                  <c:v>Priya Nair</c:v>
                </c:pt>
                <c:pt idx="2">
                  <c:v>Rohan Das</c:v>
                </c:pt>
                <c:pt idx="3">
                  <c:v>Sneha Iyer</c:v>
                </c:pt>
              </c:strCache>
            </c:strRef>
          </c:cat>
          <c:val>
            <c:numRef>
              <c:f>Dashboard!$D$32:$D$35</c:f>
              <c:numCache>
                <c:formatCode>#,##0</c:formatCode>
                <c:ptCount val="4"/>
                <c:pt idx="0">
                  <c:v>840000</c:v>
                </c:pt>
                <c:pt idx="1">
                  <c:v>1110000</c:v>
                </c:pt>
                <c:pt idx="2">
                  <c:v>1190000</c:v>
                </c:pt>
                <c:pt idx="3">
                  <c:v>230000</c:v>
                </c:pt>
              </c:numCache>
            </c:numRef>
          </c:val>
        </c:ser>
        <c:gapWidth val="150"/>
        <c:overlap val="0"/>
        <c:axId val="26140166"/>
        <c:axId val="60043352"/>
      </c:barChart>
      <c:catAx>
        <c:axId val="26140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43352"/>
        <c:crosses val="autoZero"/>
        <c:auto val="1"/>
        <c:lblAlgn val="ctr"/>
        <c:lblOffset val="100"/>
        <c:noMultiLvlLbl val="0"/>
      </c:catAx>
      <c:valAx>
        <c:axId val="60043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40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leads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Dashboard!$A$47:$A$51</c:f>
              <c:strCache>
                <c:ptCount val="5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  <c:pt idx="3">
                  <c:v>Sep 2026</c:v>
                </c:pt>
                <c:pt idx="4">
                  <c:v>Oct 2026</c:v>
                </c:pt>
              </c:strCache>
            </c:strRef>
          </c:cat>
          <c:val>
            <c:numRef>
              <c:f>Dashboard!$B$47:$B$51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263015"/>
        <c:axId val="15693337"/>
      </c:lineChart>
      <c:catAx>
        <c:axId val="5426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3337"/>
        <c:crosses val="autoZero"/>
        <c:auto val="1"/>
        <c:lblAlgn val="ctr"/>
        <c:lblOffset val="100"/>
        <c:noMultiLvlLbl val="0"/>
      </c:catAx>
      <c:valAx>
        <c:axId val="156933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630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70560</xdr:rowOff>
    </xdr:from>
    <xdr:to>
      <xdr:col>17</xdr:col>
      <xdr:colOff>507600</xdr:colOff>
      <xdr:row>15</xdr:row>
      <xdr:rowOff>63000</xdr:rowOff>
    </xdr:to>
    <xdr:graphicFrame>
      <xdr:nvGraphicFramePr>
        <xdr:cNvPr id="0" name="Chart 1"/>
        <xdr:cNvGraphicFramePr/>
      </xdr:nvGraphicFramePr>
      <xdr:xfrm>
        <a:off x="9069840" y="571680"/>
        <a:ext cx="53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2</xdr:row>
      <xdr:rowOff>70560</xdr:rowOff>
    </xdr:from>
    <xdr:to>
      <xdr:col>26</xdr:col>
      <xdr:colOff>507600</xdr:colOff>
      <xdr:row>15</xdr:row>
      <xdr:rowOff>63000</xdr:rowOff>
    </xdr:to>
    <xdr:graphicFrame>
      <xdr:nvGraphicFramePr>
        <xdr:cNvPr id="1" name="Chart 2"/>
        <xdr:cNvGraphicFramePr/>
      </xdr:nvGraphicFramePr>
      <xdr:xfrm>
        <a:off x="14573160" y="571680"/>
        <a:ext cx="53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19</xdr:row>
      <xdr:rowOff>70560</xdr:rowOff>
    </xdr:from>
    <xdr:to>
      <xdr:col>17</xdr:col>
      <xdr:colOff>507600</xdr:colOff>
      <xdr:row>32</xdr:row>
      <xdr:rowOff>178920</xdr:rowOff>
    </xdr:to>
    <xdr:graphicFrame>
      <xdr:nvGraphicFramePr>
        <xdr:cNvPr id="2" name="Chart 3"/>
        <xdr:cNvGraphicFramePr/>
      </xdr:nvGraphicFramePr>
      <xdr:xfrm>
        <a:off x="9069840" y="4076640"/>
        <a:ext cx="53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19</xdr:row>
      <xdr:rowOff>70560</xdr:rowOff>
    </xdr:from>
    <xdr:to>
      <xdr:col>26</xdr:col>
      <xdr:colOff>507600</xdr:colOff>
      <xdr:row>32</xdr:row>
      <xdr:rowOff>178920</xdr:rowOff>
    </xdr:to>
    <xdr:graphicFrame>
      <xdr:nvGraphicFramePr>
        <xdr:cNvPr id="3" name="Chart 4"/>
        <xdr:cNvGraphicFramePr/>
      </xdr:nvGraphicFramePr>
      <xdr:xfrm>
        <a:off x="14573160" y="4076640"/>
        <a:ext cx="53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8" min="7" style="0" width="14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5.5" hidden="false" customHeight="true" outlineLevel="0" collapsed="false">
      <c r="A5" s="4" t="n">
        <f aca="false">COUNTA(Data!$A$2:$A$500)</f>
        <v>60</v>
      </c>
      <c r="B5" s="4"/>
      <c r="C5" s="4" t="n">
        <f aca="false">COUNTIFS(Data!$A$2:$A$500,"&lt;&gt;",Data!$G$2:$G$500,"&lt;&gt;Won",Data!$G$2:$G$500,"&lt;&gt;Lost")</f>
        <v>42</v>
      </c>
      <c r="D5" s="4"/>
      <c r="E5" s="4" t="n">
        <f aca="false">COUNTIF(Data!$G$2:$G$500,"Won")</f>
        <v>12</v>
      </c>
      <c r="F5" s="4"/>
      <c r="G5" s="5" t="n">
        <f aca="false">IF(COUNTIF(Data!$G$2:$G$500,"Won")+COUNTIF(Data!$G$2:$G$500,"Lost")=0,0,COUNTIF(Data!$G$2:$G$500,"Won")/(COUNTIF(Data!$G$2:$G$500,"Won")+COUNTIF(Data!$G$2:$G$500,"Lost")))</f>
        <v>0.666666666666667</v>
      </c>
      <c r="H5" s="5"/>
    </row>
    <row r="7" customFormat="false" ht="15" hidden="false" customHeight="false" outlineLevel="0" collapsed="false">
      <c r="A7" s="3" t="s">
        <v>6</v>
      </c>
      <c r="B7" s="3"/>
      <c r="C7" s="3" t="s">
        <v>7</v>
      </c>
      <c r="D7" s="3"/>
      <c r="E7" s="3" t="s">
        <v>8</v>
      </c>
      <c r="F7" s="3"/>
      <c r="G7" s="3" t="s">
        <v>9</v>
      </c>
      <c r="H7" s="3"/>
    </row>
    <row r="8" customFormat="false" ht="25.5" hidden="false" customHeight="true" outlineLevel="0" collapsed="false">
      <c r="A8" s="6" t="n">
        <f aca="false">SUMIFS(Data!$H$2:$H$500,Data!$G$2:$G$500,"Won")</f>
        <v>3370000</v>
      </c>
      <c r="B8" s="6"/>
      <c r="C8" s="6" t="n">
        <f aca="false">SUMIFS(Data!$H$2:$H$500,Data!$G$2:$G$500,"&lt;&gt;Won",Data!$G$2:$G$500,"&lt;&gt;Lost")</f>
        <v>10730000</v>
      </c>
      <c r="D8" s="6"/>
      <c r="E8" s="6" t="n">
        <f aca="false">IFERROR(AVERAGEIFS(Data!$H$2:$H$500,Data!$G$2:$G$500,"Won"),0)</f>
        <v>280833.333333333</v>
      </c>
      <c r="F8" s="6"/>
      <c r="G8" s="4" t="n">
        <f aca="false">COUNTIF(Data!$K$2:$K$500,"Yes")</f>
        <v>28</v>
      </c>
      <c r="H8" s="4"/>
    </row>
    <row r="11" customFormat="false" ht="15" hidden="false" customHeight="false" outlineLevel="0" collapsed="false">
      <c r="A11" s="7" t="s">
        <v>10</v>
      </c>
    </row>
    <row r="12" customFormat="false" ht="15" hidden="false" customHeight="false" outlineLevel="0" collapsed="false">
      <c r="A12" s="8" t="s">
        <v>11</v>
      </c>
      <c r="B12" s="8" t="s">
        <v>12</v>
      </c>
      <c r="C12" s="8" t="s">
        <v>13</v>
      </c>
    </row>
    <row r="13" customFormat="false" ht="15" hidden="false" customHeight="false" outlineLevel="0" collapsed="false">
      <c r="A13" s="9" t="s">
        <v>14</v>
      </c>
      <c r="B13" s="10" t="n">
        <f aca="false">COUNTIF(Data!$G$2:$G$500,A13)</f>
        <v>12</v>
      </c>
      <c r="C13" s="11" t="n">
        <f aca="false">SUMIFS(Data!$H$2:$H$500,Data!$G$2:$G$500,A13)</f>
        <v>3355000</v>
      </c>
    </row>
    <row r="14" customFormat="false" ht="15" hidden="false" customHeight="false" outlineLevel="0" collapsed="false">
      <c r="A14" s="9" t="s">
        <v>15</v>
      </c>
      <c r="B14" s="10" t="n">
        <f aca="false">COUNTIF(Data!$G$2:$G$500,A14)</f>
        <v>12</v>
      </c>
      <c r="C14" s="11" t="n">
        <f aca="false">SUMIFS(Data!$H$2:$H$500,Data!$G$2:$G$500,A14)</f>
        <v>2315000</v>
      </c>
    </row>
    <row r="15" customFormat="false" ht="15" hidden="false" customHeight="false" outlineLevel="0" collapsed="false">
      <c r="A15" s="9" t="s">
        <v>16</v>
      </c>
      <c r="B15" s="10" t="n">
        <f aca="false">COUNTIF(Data!$G$2:$G$500,A15)</f>
        <v>10</v>
      </c>
      <c r="C15" s="11" t="n">
        <f aca="false">SUMIFS(Data!$H$2:$H$500,Data!$G$2:$G$500,A15)</f>
        <v>2935000</v>
      </c>
    </row>
    <row r="16" customFormat="false" ht="15" hidden="false" customHeight="false" outlineLevel="0" collapsed="false">
      <c r="A16" s="9" t="s">
        <v>17</v>
      </c>
      <c r="B16" s="10" t="n">
        <f aca="false">COUNTIF(Data!$G$2:$G$500,A16)</f>
        <v>8</v>
      </c>
      <c r="C16" s="11" t="n">
        <f aca="false">SUMIFS(Data!$H$2:$H$500,Data!$G$2:$G$500,A16)</f>
        <v>2125000</v>
      </c>
    </row>
    <row r="17" customFormat="false" ht="15" hidden="false" customHeight="false" outlineLevel="0" collapsed="false">
      <c r="A17" s="9" t="s">
        <v>18</v>
      </c>
      <c r="B17" s="10" t="n">
        <f aca="false">COUNTIF(Data!$G$2:$G$500,A17)</f>
        <v>12</v>
      </c>
      <c r="C17" s="11" t="n">
        <f aca="false">SUMIFS(Data!$H$2:$H$500,Data!$G$2:$G$500,A17)</f>
        <v>3370000</v>
      </c>
    </row>
    <row r="18" customFormat="false" ht="15" hidden="false" customHeight="false" outlineLevel="0" collapsed="false">
      <c r="A18" s="9" t="s">
        <v>19</v>
      </c>
      <c r="B18" s="10" t="n">
        <f aca="false">COUNTIF(Data!$G$2:$G$500,A18)</f>
        <v>6</v>
      </c>
      <c r="C18" s="11" t="n">
        <f aca="false">SUMIFS(Data!$H$2:$H$500,Data!$G$2:$G$500,A18)</f>
        <v>1310000</v>
      </c>
    </row>
    <row r="21" customFormat="false" ht="15" hidden="false" customHeight="false" outlineLevel="0" collapsed="false">
      <c r="A21" s="7" t="s">
        <v>20</v>
      </c>
    </row>
    <row r="22" customFormat="false" ht="15" hidden="false" customHeight="false" outlineLevel="0" collapsed="false">
      <c r="A22" s="8" t="s">
        <v>21</v>
      </c>
      <c r="B22" s="8" t="s">
        <v>12</v>
      </c>
      <c r="C22" s="8" t="s">
        <v>18</v>
      </c>
      <c r="D22" s="8" t="s">
        <v>22</v>
      </c>
    </row>
    <row r="23" customFormat="false" ht="15" hidden="false" customHeight="false" outlineLevel="0" collapsed="false">
      <c r="A23" s="9" t="s">
        <v>23</v>
      </c>
      <c r="B23" s="10" t="n">
        <f aca="false">COUNTIF(Data!$D$2:$D$500,A23)</f>
        <v>7</v>
      </c>
      <c r="C23" s="10" t="n">
        <f aca="false">COUNTIFS(Data!$D$2:$D$500,A23,Data!$G$2:$G$500,"Won")</f>
        <v>0</v>
      </c>
      <c r="D23" s="12" t="n">
        <f aca="false">IF(B23=0,0,C23/B23)</f>
        <v>0</v>
      </c>
    </row>
    <row r="24" customFormat="false" ht="15" hidden="false" customHeight="false" outlineLevel="0" collapsed="false">
      <c r="A24" s="9" t="s">
        <v>24</v>
      </c>
      <c r="B24" s="10" t="n">
        <f aca="false">COUNTIF(Data!$D$2:$D$500,A24)</f>
        <v>12</v>
      </c>
      <c r="C24" s="10" t="n">
        <f aca="false">COUNTIFS(Data!$D$2:$D$500,A24,Data!$G$2:$G$500,"Won")</f>
        <v>2</v>
      </c>
      <c r="D24" s="12" t="n">
        <f aca="false">IF(B24=0,0,C24/B24)</f>
        <v>0.166666666666667</v>
      </c>
    </row>
    <row r="25" customFormat="false" ht="15" hidden="false" customHeight="false" outlineLevel="0" collapsed="false">
      <c r="A25" s="9" t="s">
        <v>25</v>
      </c>
      <c r="B25" s="10" t="n">
        <f aca="false">COUNTIF(Data!$D$2:$D$500,A25)</f>
        <v>14</v>
      </c>
      <c r="C25" s="10" t="n">
        <f aca="false">COUNTIFS(Data!$D$2:$D$500,A25,Data!$G$2:$G$500,"Won")</f>
        <v>3</v>
      </c>
      <c r="D25" s="12" t="n">
        <f aca="false">IF(B25=0,0,C25/B25)</f>
        <v>0.214285714285714</v>
      </c>
    </row>
    <row r="26" customFormat="false" ht="15" hidden="false" customHeight="false" outlineLevel="0" collapsed="false">
      <c r="A26" s="9" t="s">
        <v>26</v>
      </c>
      <c r="B26" s="10" t="n">
        <f aca="false">COUNTIF(Data!$D$2:$D$500,A26)</f>
        <v>19</v>
      </c>
      <c r="C26" s="10" t="n">
        <f aca="false">COUNTIFS(Data!$D$2:$D$500,A26,Data!$G$2:$G$500,"Won")</f>
        <v>5</v>
      </c>
      <c r="D26" s="12" t="n">
        <f aca="false">IF(B26=0,0,C26/B26)</f>
        <v>0.263157894736842</v>
      </c>
    </row>
    <row r="27" customFormat="false" ht="15" hidden="false" customHeight="false" outlineLevel="0" collapsed="false">
      <c r="A27" s="9" t="s">
        <v>27</v>
      </c>
      <c r="B27" s="10" t="n">
        <f aca="false">COUNTIF(Data!$D$2:$D$500,A27)</f>
        <v>8</v>
      </c>
      <c r="C27" s="10" t="n">
        <f aca="false">COUNTIFS(Data!$D$2:$D$500,A27,Data!$G$2:$G$500,"Won")</f>
        <v>2</v>
      </c>
      <c r="D27" s="12" t="n">
        <f aca="false">IF(B27=0,0,C27/B27)</f>
        <v>0.25</v>
      </c>
    </row>
    <row r="30" customFormat="false" ht="15" hidden="false" customHeight="false" outlineLevel="0" collapsed="false">
      <c r="A30" s="7" t="s">
        <v>28</v>
      </c>
    </row>
    <row r="31" customFormat="false" ht="26.85" hidden="false" customHeight="false" outlineLevel="0" collapsed="false">
      <c r="A31" s="8" t="s">
        <v>29</v>
      </c>
      <c r="B31" s="8" t="s">
        <v>12</v>
      </c>
      <c r="C31" s="8" t="s">
        <v>18</v>
      </c>
      <c r="D31" s="8" t="s">
        <v>30</v>
      </c>
    </row>
    <row r="32" customFormat="false" ht="15" hidden="false" customHeight="false" outlineLevel="0" collapsed="false">
      <c r="A32" s="9" t="s">
        <v>31</v>
      </c>
      <c r="B32" s="10" t="n">
        <f aca="false">COUNTIF(Data!$E$2:$E$500,A32)</f>
        <v>18</v>
      </c>
      <c r="C32" s="10" t="n">
        <f aca="false">COUNTIFS(Data!$E$2:$E$500,A32,Data!$G$2:$G$500,"Won")</f>
        <v>4</v>
      </c>
      <c r="D32" s="11" t="n">
        <f aca="false">SUMIFS(Data!$H$2:$H$500,Data!$E$2:$E$500,A32,Data!$G$2:$G$500,"Won")</f>
        <v>840000</v>
      </c>
    </row>
    <row r="33" customFormat="false" ht="15" hidden="false" customHeight="false" outlineLevel="0" collapsed="false">
      <c r="A33" s="9" t="s">
        <v>32</v>
      </c>
      <c r="B33" s="10" t="n">
        <f aca="false">COUNTIF(Data!$E$2:$E$500,A33)</f>
        <v>14</v>
      </c>
      <c r="C33" s="10" t="n">
        <f aca="false">COUNTIFS(Data!$E$2:$E$500,A33,Data!$G$2:$G$500,"Won")</f>
        <v>4</v>
      </c>
      <c r="D33" s="11" t="n">
        <f aca="false">SUMIFS(Data!$H$2:$H$500,Data!$E$2:$E$500,A33,Data!$G$2:$G$500,"Won")</f>
        <v>1110000</v>
      </c>
    </row>
    <row r="34" customFormat="false" ht="15" hidden="false" customHeight="false" outlineLevel="0" collapsed="false">
      <c r="A34" s="9" t="s">
        <v>33</v>
      </c>
      <c r="B34" s="10" t="n">
        <f aca="false">COUNTIF(Data!$E$2:$E$500,A34)</f>
        <v>14</v>
      </c>
      <c r="C34" s="10" t="n">
        <f aca="false">COUNTIFS(Data!$E$2:$E$500,A34,Data!$G$2:$G$500,"Won")</f>
        <v>3</v>
      </c>
      <c r="D34" s="11" t="n">
        <f aca="false">SUMIFS(Data!$H$2:$H$500,Data!$E$2:$E$500,A34,Data!$G$2:$G$500,"Won")</f>
        <v>1190000</v>
      </c>
    </row>
    <row r="35" customFormat="false" ht="15" hidden="false" customHeight="false" outlineLevel="0" collapsed="false">
      <c r="A35" s="9" t="s">
        <v>34</v>
      </c>
      <c r="B35" s="10" t="n">
        <f aca="false">COUNTIF(Data!$E$2:$E$500,A35)</f>
        <v>14</v>
      </c>
      <c r="C35" s="10" t="n">
        <f aca="false">COUNTIFS(Data!$E$2:$E$500,A35,Data!$G$2:$G$500,"Won")</f>
        <v>1</v>
      </c>
      <c r="D35" s="11" t="n">
        <f aca="false">SUMIFS(Data!$H$2:$H$500,Data!$E$2:$E$500,A35,Data!$G$2:$G$500,"Won")</f>
        <v>230000</v>
      </c>
    </row>
    <row r="38" customFormat="false" ht="15" hidden="false" customHeight="false" outlineLevel="0" collapsed="false">
      <c r="A38" s="7" t="s">
        <v>35</v>
      </c>
    </row>
    <row r="39" customFormat="false" ht="26.85" hidden="false" customHeight="false" outlineLevel="0" collapsed="false">
      <c r="A39" s="8" t="s">
        <v>36</v>
      </c>
      <c r="B39" s="8" t="s">
        <v>12</v>
      </c>
      <c r="C39" s="8" t="s">
        <v>30</v>
      </c>
    </row>
    <row r="40" customFormat="false" ht="15" hidden="false" customHeight="false" outlineLevel="0" collapsed="false">
      <c r="A40" s="9" t="s">
        <v>37</v>
      </c>
      <c r="B40" s="10" t="n">
        <f aca="false">COUNTIF(Data!$F$2:$F$500,A40)</f>
        <v>18</v>
      </c>
      <c r="C40" s="11" t="n">
        <f aca="false">SUMIFS(Data!$H$2:$H$500,Data!$F$2:$F$500,A40,Data!$G$2:$G$500,"Won")</f>
        <v>645000</v>
      </c>
    </row>
    <row r="41" customFormat="false" ht="15" hidden="false" customHeight="false" outlineLevel="0" collapsed="false">
      <c r="A41" s="9" t="s">
        <v>38</v>
      </c>
      <c r="B41" s="10" t="n">
        <f aca="false">COUNTIF(Data!$F$2:$F$500,A41)</f>
        <v>20</v>
      </c>
      <c r="C41" s="11" t="n">
        <f aca="false">SUMIFS(Data!$H$2:$H$500,Data!$F$2:$F$500,A41,Data!$G$2:$G$500,"Won")</f>
        <v>1275000</v>
      </c>
    </row>
    <row r="42" customFormat="false" ht="15" hidden="false" customHeight="false" outlineLevel="0" collapsed="false">
      <c r="A42" s="9" t="s">
        <v>39</v>
      </c>
      <c r="B42" s="10" t="n">
        <f aca="false">COUNTIF(Data!$F$2:$F$500,A42)</f>
        <v>7</v>
      </c>
      <c r="C42" s="11" t="n">
        <f aca="false">SUMIFS(Data!$H$2:$H$500,Data!$F$2:$F$500,A42,Data!$G$2:$G$500,"Won")</f>
        <v>345000</v>
      </c>
    </row>
    <row r="43" customFormat="false" ht="15" hidden="false" customHeight="false" outlineLevel="0" collapsed="false">
      <c r="A43" s="9" t="s">
        <v>40</v>
      </c>
      <c r="B43" s="10" t="n">
        <f aca="false">COUNTIF(Data!$F$2:$F$500,A43)</f>
        <v>15</v>
      </c>
      <c r="C43" s="11" t="n">
        <f aca="false">SUMIFS(Data!$H$2:$H$500,Data!$F$2:$F$500,A43,Data!$G$2:$G$500,"Won")</f>
        <v>1105000</v>
      </c>
    </row>
    <row r="45" customFormat="false" ht="15" hidden="false" customHeight="false" outlineLevel="0" collapsed="false">
      <c r="A45" s="7" t="s">
        <v>41</v>
      </c>
    </row>
    <row r="46" customFormat="false" ht="26.85" hidden="false" customHeight="false" outlineLevel="0" collapsed="false">
      <c r="A46" s="8" t="s">
        <v>42</v>
      </c>
      <c r="B46" s="8" t="s">
        <v>43</v>
      </c>
      <c r="C46" s="8" t="s">
        <v>44</v>
      </c>
    </row>
    <row r="47" customFormat="false" ht="15" hidden="false" customHeight="false" outlineLevel="0" collapsed="false">
      <c r="A47" s="9" t="s">
        <v>45</v>
      </c>
      <c r="B47" s="13" t="n">
        <f aca="false">COUNTIFS(Data!$I$2:$I$500,"&gt;="&amp;C47,Data!$I$2:$I$500,"&lt;"&amp;EDATE(C47,1))</f>
        <v>17</v>
      </c>
      <c r="C47" s="14" t="n">
        <v>46174</v>
      </c>
    </row>
    <row r="48" customFormat="false" ht="15" hidden="false" customHeight="false" outlineLevel="0" collapsed="false">
      <c r="A48" s="9" t="s">
        <v>46</v>
      </c>
      <c r="B48" s="13" t="n">
        <f aca="false">COUNTIFS(Data!$I$2:$I$500,"&gt;="&amp;C48,Data!$I$2:$I$500,"&lt;"&amp;EDATE(C48,1))</f>
        <v>15</v>
      </c>
      <c r="C48" s="14" t="n">
        <v>46204</v>
      </c>
    </row>
    <row r="49" customFormat="false" ht="15" hidden="false" customHeight="false" outlineLevel="0" collapsed="false">
      <c r="A49" s="9" t="s">
        <v>47</v>
      </c>
      <c r="B49" s="13" t="n">
        <f aca="false">COUNTIFS(Data!$I$2:$I$500,"&gt;="&amp;C49,Data!$I$2:$I$500,"&lt;"&amp;EDATE(C49,1))</f>
        <v>9</v>
      </c>
      <c r="C49" s="14" t="n">
        <v>46235</v>
      </c>
    </row>
    <row r="50" customFormat="false" ht="15" hidden="false" customHeight="false" outlineLevel="0" collapsed="false">
      <c r="A50" s="9" t="s">
        <v>48</v>
      </c>
      <c r="B50" s="13" t="n">
        <f aca="false">COUNTIFS(Data!$I$2:$I$500,"&gt;="&amp;C50,Data!$I$2:$I$500,"&lt;"&amp;EDATE(C50,1))</f>
        <v>11</v>
      </c>
      <c r="C50" s="14" t="n">
        <v>46266</v>
      </c>
    </row>
    <row r="51" customFormat="false" ht="15" hidden="false" customHeight="false" outlineLevel="0" collapsed="false">
      <c r="A51" s="9" t="s">
        <v>49</v>
      </c>
      <c r="B51" s="13" t="n">
        <f aca="false">COUNTIFS(Data!$I$2:$I$500,"&gt;="&amp;C51,Data!$I$2:$I$500,"&lt;"&amp;EDATE(C51,1))</f>
        <v>8</v>
      </c>
      <c r="C51" s="14" t="n">
        <v>46296</v>
      </c>
    </row>
  </sheetData>
  <mergeCells count="16"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29</v>
      </c>
      <c r="F1" s="15" t="s">
        <v>36</v>
      </c>
      <c r="G1" s="15" t="s">
        <v>11</v>
      </c>
      <c r="H1" s="15" t="s">
        <v>13</v>
      </c>
      <c r="I1" s="15" t="s">
        <v>54</v>
      </c>
      <c r="J1" s="15" t="s">
        <v>55</v>
      </c>
      <c r="K1" s="15" t="s">
        <v>56</v>
      </c>
    </row>
    <row r="2" customFormat="false" ht="15" hidden="false" customHeight="false" outlineLevel="0" collapsed="false">
      <c r="A2" s="16" t="n">
        <v>1001</v>
      </c>
      <c r="B2" s="16" t="s">
        <v>57</v>
      </c>
      <c r="C2" s="16" t="s">
        <v>58</v>
      </c>
      <c r="D2" s="16" t="s">
        <v>23</v>
      </c>
      <c r="E2" s="16" t="s">
        <v>31</v>
      </c>
      <c r="F2" s="16" t="s">
        <v>40</v>
      </c>
      <c r="G2" s="16" t="s">
        <v>14</v>
      </c>
      <c r="H2" s="17" t="n">
        <v>260000</v>
      </c>
      <c r="I2" s="18" t="n">
        <v>46175</v>
      </c>
      <c r="J2" s="18" t="n">
        <v>46213</v>
      </c>
      <c r="K2" s="19" t="str">
        <f aca="true">IF(OR(G2="Won",G2="Lost"),"No",IF(TODAY()-J2&gt;14,"Yes","No"))</f>
        <v>Yes</v>
      </c>
    </row>
    <row r="3" customFormat="false" ht="15" hidden="false" customHeight="false" outlineLevel="0" collapsed="false">
      <c r="A3" s="16" t="n">
        <v>1002</v>
      </c>
      <c r="B3" s="16" t="s">
        <v>59</v>
      </c>
      <c r="C3" s="16" t="s">
        <v>60</v>
      </c>
      <c r="D3" s="16" t="s">
        <v>26</v>
      </c>
      <c r="E3" s="16" t="s">
        <v>32</v>
      </c>
      <c r="F3" s="16" t="s">
        <v>38</v>
      </c>
      <c r="G3" s="16" t="s">
        <v>18</v>
      </c>
      <c r="H3" s="17" t="n">
        <v>315000</v>
      </c>
      <c r="I3" s="18" t="n">
        <v>46176</v>
      </c>
      <c r="J3" s="18" t="n">
        <v>46179</v>
      </c>
      <c r="K3" s="19" t="str">
        <f aca="true">IF(OR(G3="Won",G3="Lost"),"No",IF(TODAY()-J3&gt;14,"Yes","No"))</f>
        <v>No</v>
      </c>
    </row>
    <row r="4" customFormat="false" ht="15" hidden="false" customHeight="false" outlineLevel="0" collapsed="false">
      <c r="A4" s="16" t="n">
        <v>1003</v>
      </c>
      <c r="B4" s="16" t="s">
        <v>61</v>
      </c>
      <c r="C4" s="16" t="s">
        <v>62</v>
      </c>
      <c r="D4" s="16" t="s">
        <v>25</v>
      </c>
      <c r="E4" s="16" t="s">
        <v>34</v>
      </c>
      <c r="F4" s="16" t="s">
        <v>37</v>
      </c>
      <c r="G4" s="16" t="s">
        <v>18</v>
      </c>
      <c r="H4" s="17" t="n">
        <v>230000</v>
      </c>
      <c r="I4" s="18" t="n">
        <v>46176</v>
      </c>
      <c r="J4" s="18" t="n">
        <v>46215</v>
      </c>
      <c r="K4" s="19" t="str">
        <f aca="true">IF(OR(G4="Won",G4="Lost"),"No",IF(TODAY()-J4&gt;14,"Yes","No"))</f>
        <v>No</v>
      </c>
    </row>
    <row r="5" customFormat="false" ht="15" hidden="false" customHeight="false" outlineLevel="0" collapsed="false">
      <c r="A5" s="16" t="n">
        <v>1004</v>
      </c>
      <c r="B5" s="16" t="s">
        <v>63</v>
      </c>
      <c r="C5" s="16" t="s">
        <v>58</v>
      </c>
      <c r="D5" s="16" t="s">
        <v>26</v>
      </c>
      <c r="E5" s="16" t="s">
        <v>32</v>
      </c>
      <c r="F5" s="16" t="s">
        <v>39</v>
      </c>
      <c r="G5" s="16" t="s">
        <v>16</v>
      </c>
      <c r="H5" s="17" t="n">
        <v>70000</v>
      </c>
      <c r="I5" s="18" t="n">
        <v>46177</v>
      </c>
      <c r="J5" s="18" t="n">
        <v>46197</v>
      </c>
      <c r="K5" s="19" t="str">
        <f aca="true">IF(OR(G5="Won",G5="Lost"),"No",IF(TODAY()-J5&gt;14,"Yes","No"))</f>
        <v>Yes</v>
      </c>
    </row>
    <row r="6" customFormat="false" ht="15" hidden="false" customHeight="false" outlineLevel="0" collapsed="false">
      <c r="A6" s="16" t="n">
        <v>1005</v>
      </c>
      <c r="B6" s="16" t="s">
        <v>64</v>
      </c>
      <c r="C6" s="16" t="s">
        <v>65</v>
      </c>
      <c r="D6" s="16" t="s">
        <v>26</v>
      </c>
      <c r="E6" s="16" t="s">
        <v>31</v>
      </c>
      <c r="F6" s="16" t="s">
        <v>37</v>
      </c>
      <c r="G6" s="16" t="s">
        <v>18</v>
      </c>
      <c r="H6" s="17" t="n">
        <v>135000</v>
      </c>
      <c r="I6" s="18" t="n">
        <v>46179</v>
      </c>
      <c r="J6" s="18" t="n">
        <v>46192</v>
      </c>
      <c r="K6" s="19" t="str">
        <f aca="true">IF(OR(G6="Won",G6="Lost"),"No",IF(TODAY()-J6&gt;14,"Yes","No"))</f>
        <v>No</v>
      </c>
    </row>
    <row r="7" customFormat="false" ht="15" hidden="false" customHeight="false" outlineLevel="0" collapsed="false">
      <c r="A7" s="16" t="n">
        <v>1006</v>
      </c>
      <c r="B7" s="16" t="s">
        <v>66</v>
      </c>
      <c r="C7" s="16" t="s">
        <v>67</v>
      </c>
      <c r="D7" s="16" t="s">
        <v>24</v>
      </c>
      <c r="E7" s="16" t="s">
        <v>32</v>
      </c>
      <c r="F7" s="16" t="s">
        <v>37</v>
      </c>
      <c r="G7" s="16" t="s">
        <v>14</v>
      </c>
      <c r="H7" s="17" t="n">
        <v>140000</v>
      </c>
      <c r="I7" s="18" t="n">
        <v>46179</v>
      </c>
      <c r="J7" s="18" t="n">
        <v>46181</v>
      </c>
      <c r="K7" s="19" t="str">
        <f aca="true">IF(OR(G7="Won",G7="Lost"),"No",IF(TODAY()-J7&gt;14,"Yes","No"))</f>
        <v>Yes</v>
      </c>
    </row>
    <row r="8" customFormat="false" ht="15" hidden="false" customHeight="false" outlineLevel="0" collapsed="false">
      <c r="A8" s="16" t="n">
        <v>1007</v>
      </c>
      <c r="B8" s="16" t="s">
        <v>68</v>
      </c>
      <c r="C8" s="16" t="s">
        <v>69</v>
      </c>
      <c r="D8" s="16" t="s">
        <v>26</v>
      </c>
      <c r="E8" s="16" t="s">
        <v>32</v>
      </c>
      <c r="F8" s="16" t="s">
        <v>38</v>
      </c>
      <c r="G8" s="16" t="s">
        <v>18</v>
      </c>
      <c r="H8" s="17" t="n">
        <v>425000</v>
      </c>
      <c r="I8" s="18" t="n">
        <v>46179</v>
      </c>
      <c r="J8" s="18" t="n">
        <v>46203</v>
      </c>
      <c r="K8" s="19" t="str">
        <f aca="true">IF(OR(G8="Won",G8="Lost"),"No",IF(TODAY()-J8&gt;14,"Yes","No"))</f>
        <v>No</v>
      </c>
    </row>
    <row r="9" customFormat="false" ht="15" hidden="false" customHeight="false" outlineLevel="0" collapsed="false">
      <c r="A9" s="16" t="n">
        <v>1008</v>
      </c>
      <c r="B9" s="16" t="s">
        <v>70</v>
      </c>
      <c r="C9" s="16" t="s">
        <v>71</v>
      </c>
      <c r="D9" s="16" t="s">
        <v>24</v>
      </c>
      <c r="E9" s="16" t="s">
        <v>31</v>
      </c>
      <c r="F9" s="16" t="s">
        <v>37</v>
      </c>
      <c r="G9" s="16" t="s">
        <v>17</v>
      </c>
      <c r="H9" s="17" t="n">
        <v>170000</v>
      </c>
      <c r="I9" s="18" t="n">
        <v>46180</v>
      </c>
      <c r="J9" s="18" t="n">
        <v>46197</v>
      </c>
      <c r="K9" s="19" t="str">
        <f aca="true">IF(OR(G9="Won",G9="Lost"),"No",IF(TODAY()-J9&gt;14,"Yes","No"))</f>
        <v>Yes</v>
      </c>
    </row>
    <row r="10" customFormat="false" ht="15" hidden="false" customHeight="false" outlineLevel="0" collapsed="false">
      <c r="A10" s="16" t="n">
        <v>1009</v>
      </c>
      <c r="B10" s="16" t="s">
        <v>72</v>
      </c>
      <c r="C10" s="16" t="s">
        <v>73</v>
      </c>
      <c r="D10" s="16" t="s">
        <v>25</v>
      </c>
      <c r="E10" s="16" t="s">
        <v>33</v>
      </c>
      <c r="F10" s="16" t="s">
        <v>37</v>
      </c>
      <c r="G10" s="16" t="s">
        <v>16</v>
      </c>
      <c r="H10" s="17" t="n">
        <v>385000</v>
      </c>
      <c r="I10" s="18" t="n">
        <v>46184</v>
      </c>
      <c r="J10" s="18" t="n">
        <v>46201</v>
      </c>
      <c r="K10" s="19" t="str">
        <f aca="true">IF(OR(G10="Won",G10="Lost"),"No",IF(TODAY()-J10&gt;14,"Yes","No"))</f>
        <v>Yes</v>
      </c>
    </row>
    <row r="11" customFormat="false" ht="15" hidden="false" customHeight="false" outlineLevel="0" collapsed="false">
      <c r="A11" s="16" t="n">
        <v>1010</v>
      </c>
      <c r="B11" s="16" t="s">
        <v>74</v>
      </c>
      <c r="C11" s="16" t="s">
        <v>75</v>
      </c>
      <c r="D11" s="16" t="s">
        <v>26</v>
      </c>
      <c r="E11" s="16" t="s">
        <v>34</v>
      </c>
      <c r="F11" s="16" t="s">
        <v>38</v>
      </c>
      <c r="G11" s="16" t="s">
        <v>16</v>
      </c>
      <c r="H11" s="17" t="n">
        <v>120000</v>
      </c>
      <c r="I11" s="18" t="n">
        <v>46185</v>
      </c>
      <c r="J11" s="18" t="n">
        <v>46209</v>
      </c>
      <c r="K11" s="19" t="str">
        <f aca="true">IF(OR(G11="Won",G11="Lost"),"No",IF(TODAY()-J11&gt;14,"Yes","No"))</f>
        <v>Yes</v>
      </c>
    </row>
    <row r="12" customFormat="false" ht="15" hidden="false" customHeight="false" outlineLevel="0" collapsed="false">
      <c r="A12" s="16" t="n">
        <v>1011</v>
      </c>
      <c r="B12" s="16" t="s">
        <v>76</v>
      </c>
      <c r="C12" s="16" t="s">
        <v>77</v>
      </c>
      <c r="D12" s="16" t="s">
        <v>26</v>
      </c>
      <c r="E12" s="16" t="s">
        <v>31</v>
      </c>
      <c r="F12" s="16" t="s">
        <v>37</v>
      </c>
      <c r="G12" s="16" t="s">
        <v>14</v>
      </c>
      <c r="H12" s="17" t="n">
        <v>455000</v>
      </c>
      <c r="I12" s="18" t="n">
        <v>46189</v>
      </c>
      <c r="J12" s="18" t="n">
        <v>46197</v>
      </c>
      <c r="K12" s="19" t="str">
        <f aca="true">IF(OR(G12="Won",G12="Lost"),"No",IF(TODAY()-J12&gt;14,"Yes","No"))</f>
        <v>Yes</v>
      </c>
    </row>
    <row r="13" customFormat="false" ht="15" hidden="false" customHeight="false" outlineLevel="0" collapsed="false">
      <c r="A13" s="16" t="n">
        <v>1012</v>
      </c>
      <c r="B13" s="16" t="s">
        <v>78</v>
      </c>
      <c r="C13" s="16" t="s">
        <v>79</v>
      </c>
      <c r="D13" s="16" t="s">
        <v>26</v>
      </c>
      <c r="E13" s="16" t="s">
        <v>32</v>
      </c>
      <c r="F13" s="16" t="s">
        <v>37</v>
      </c>
      <c r="G13" s="16" t="s">
        <v>18</v>
      </c>
      <c r="H13" s="17" t="n">
        <v>280000</v>
      </c>
      <c r="I13" s="18" t="n">
        <v>46191</v>
      </c>
      <c r="J13" s="18" t="n">
        <v>46208</v>
      </c>
      <c r="K13" s="19" t="str">
        <f aca="true">IF(OR(G13="Won",G13="Lost"),"No",IF(TODAY()-J13&gt;14,"Yes","No"))</f>
        <v>No</v>
      </c>
    </row>
    <row r="14" customFormat="false" ht="15" hidden="false" customHeight="false" outlineLevel="0" collapsed="false">
      <c r="A14" s="16" t="n">
        <v>1013</v>
      </c>
      <c r="B14" s="16" t="s">
        <v>80</v>
      </c>
      <c r="C14" s="16" t="s">
        <v>81</v>
      </c>
      <c r="D14" s="16" t="s">
        <v>26</v>
      </c>
      <c r="E14" s="16" t="s">
        <v>31</v>
      </c>
      <c r="F14" s="16" t="s">
        <v>37</v>
      </c>
      <c r="G14" s="16" t="s">
        <v>16</v>
      </c>
      <c r="H14" s="17" t="n">
        <v>210000</v>
      </c>
      <c r="I14" s="18" t="n">
        <v>46192</v>
      </c>
      <c r="J14" s="18" t="n">
        <v>46213</v>
      </c>
      <c r="K14" s="19" t="str">
        <f aca="true">IF(OR(G14="Won",G14="Lost"),"No",IF(TODAY()-J14&gt;14,"Yes","No"))</f>
        <v>Yes</v>
      </c>
    </row>
    <row r="15" customFormat="false" ht="15" hidden="false" customHeight="false" outlineLevel="0" collapsed="false">
      <c r="A15" s="16" t="n">
        <v>1014</v>
      </c>
      <c r="B15" s="16" t="s">
        <v>82</v>
      </c>
      <c r="C15" s="16" t="s">
        <v>83</v>
      </c>
      <c r="D15" s="16" t="s">
        <v>25</v>
      </c>
      <c r="E15" s="16" t="s">
        <v>33</v>
      </c>
      <c r="F15" s="16" t="s">
        <v>38</v>
      </c>
      <c r="G15" s="16" t="s">
        <v>15</v>
      </c>
      <c r="H15" s="17" t="n">
        <v>60000</v>
      </c>
      <c r="I15" s="18" t="n">
        <v>46193</v>
      </c>
      <c r="J15" s="18" t="n">
        <v>46223</v>
      </c>
      <c r="K15" s="19" t="str">
        <f aca="true">IF(OR(G15="Won",G15="Lost"),"No",IF(TODAY()-J15&gt;14,"Yes","No"))</f>
        <v>Yes</v>
      </c>
    </row>
    <row r="16" customFormat="false" ht="15" hidden="false" customHeight="false" outlineLevel="0" collapsed="false">
      <c r="A16" s="16" t="n">
        <v>1015</v>
      </c>
      <c r="B16" s="16" t="s">
        <v>84</v>
      </c>
      <c r="C16" s="16" t="s">
        <v>85</v>
      </c>
      <c r="D16" s="16" t="s">
        <v>26</v>
      </c>
      <c r="E16" s="16" t="s">
        <v>33</v>
      </c>
      <c r="F16" s="16" t="s">
        <v>38</v>
      </c>
      <c r="G16" s="16" t="s">
        <v>14</v>
      </c>
      <c r="H16" s="17" t="n">
        <v>145000</v>
      </c>
      <c r="I16" s="18" t="n">
        <v>46193</v>
      </c>
      <c r="J16" s="18" t="n">
        <v>46205</v>
      </c>
      <c r="K16" s="19" t="str">
        <f aca="true">IF(OR(G16="Won",G16="Lost"),"No",IF(TODAY()-J16&gt;14,"Yes","No"))</f>
        <v>Yes</v>
      </c>
    </row>
    <row r="17" customFormat="false" ht="15" hidden="false" customHeight="false" outlineLevel="0" collapsed="false">
      <c r="A17" s="16" t="n">
        <v>1016</v>
      </c>
      <c r="B17" s="16" t="s">
        <v>86</v>
      </c>
      <c r="C17" s="16" t="s">
        <v>87</v>
      </c>
      <c r="D17" s="16" t="s">
        <v>25</v>
      </c>
      <c r="E17" s="16" t="s">
        <v>33</v>
      </c>
      <c r="F17" s="16" t="s">
        <v>40</v>
      </c>
      <c r="G17" s="16" t="s">
        <v>19</v>
      </c>
      <c r="H17" s="17" t="n">
        <v>180000</v>
      </c>
      <c r="I17" s="18" t="n">
        <v>46199</v>
      </c>
      <c r="J17" s="18" t="n">
        <v>46215</v>
      </c>
      <c r="K17" s="19" t="str">
        <f aca="true">IF(OR(G17="Won",G17="Lost"),"No",IF(TODAY()-J17&gt;14,"Yes","No"))</f>
        <v>No</v>
      </c>
    </row>
    <row r="18" customFormat="false" ht="15" hidden="false" customHeight="false" outlineLevel="0" collapsed="false">
      <c r="A18" s="16" t="n">
        <v>1017</v>
      </c>
      <c r="B18" s="16" t="s">
        <v>88</v>
      </c>
      <c r="C18" s="16" t="s">
        <v>77</v>
      </c>
      <c r="D18" s="16" t="s">
        <v>26</v>
      </c>
      <c r="E18" s="16" t="s">
        <v>34</v>
      </c>
      <c r="F18" s="16" t="s">
        <v>37</v>
      </c>
      <c r="G18" s="16" t="s">
        <v>17</v>
      </c>
      <c r="H18" s="17" t="n">
        <v>180000</v>
      </c>
      <c r="I18" s="18" t="n">
        <v>46201</v>
      </c>
      <c r="J18" s="18" t="n">
        <v>46216</v>
      </c>
      <c r="K18" s="19" t="str">
        <f aca="true">IF(OR(G18="Won",G18="Lost"),"No",IF(TODAY()-J18&gt;14,"Yes","No"))</f>
        <v>Yes</v>
      </c>
    </row>
    <row r="19" customFormat="false" ht="15" hidden="false" customHeight="false" outlineLevel="0" collapsed="false">
      <c r="A19" s="16" t="n">
        <v>1018</v>
      </c>
      <c r="B19" s="16" t="s">
        <v>89</v>
      </c>
      <c r="C19" s="16" t="s">
        <v>90</v>
      </c>
      <c r="D19" s="16" t="s">
        <v>24</v>
      </c>
      <c r="E19" s="16" t="s">
        <v>31</v>
      </c>
      <c r="F19" s="16" t="s">
        <v>40</v>
      </c>
      <c r="G19" s="16" t="s">
        <v>18</v>
      </c>
      <c r="H19" s="17" t="n">
        <v>310000</v>
      </c>
      <c r="I19" s="18" t="n">
        <v>46207</v>
      </c>
      <c r="J19" s="18" t="n">
        <v>46235</v>
      </c>
      <c r="K19" s="19" t="str">
        <f aca="true">IF(OR(G19="Won",G19="Lost"),"No",IF(TODAY()-J19&gt;14,"Yes","No"))</f>
        <v>No</v>
      </c>
    </row>
    <row r="20" customFormat="false" ht="15" hidden="false" customHeight="false" outlineLevel="0" collapsed="false">
      <c r="A20" s="16" t="n">
        <v>1019</v>
      </c>
      <c r="B20" s="16" t="s">
        <v>91</v>
      </c>
      <c r="C20" s="16" t="s">
        <v>92</v>
      </c>
      <c r="D20" s="16" t="s">
        <v>24</v>
      </c>
      <c r="E20" s="16" t="s">
        <v>33</v>
      </c>
      <c r="F20" s="16" t="s">
        <v>38</v>
      </c>
      <c r="G20" s="16" t="s">
        <v>16</v>
      </c>
      <c r="H20" s="17" t="n">
        <v>135000</v>
      </c>
      <c r="I20" s="18" t="n">
        <v>46208</v>
      </c>
      <c r="J20" s="18" t="n">
        <v>46232</v>
      </c>
      <c r="K20" s="19" t="str">
        <f aca="true">IF(OR(G20="Won",G20="Lost"),"No",IF(TODAY()-J20&gt;14,"Yes","No"))</f>
        <v>Yes</v>
      </c>
    </row>
    <row r="21" customFormat="false" ht="15" hidden="false" customHeight="false" outlineLevel="0" collapsed="false">
      <c r="A21" s="16" t="n">
        <v>1020</v>
      </c>
      <c r="B21" s="16" t="s">
        <v>93</v>
      </c>
      <c r="C21" s="16" t="s">
        <v>94</v>
      </c>
      <c r="D21" s="16" t="s">
        <v>23</v>
      </c>
      <c r="E21" s="16" t="s">
        <v>34</v>
      </c>
      <c r="F21" s="16" t="s">
        <v>39</v>
      </c>
      <c r="G21" s="16" t="s">
        <v>17</v>
      </c>
      <c r="H21" s="17" t="n">
        <v>40000</v>
      </c>
      <c r="I21" s="18" t="n">
        <v>46209</v>
      </c>
      <c r="J21" s="18" t="n">
        <v>46246</v>
      </c>
      <c r="K21" s="19" t="str">
        <f aca="true">IF(OR(G21="Won",G21="Lost"),"No",IF(TODAY()-J21&gt;14,"Yes","No"))</f>
        <v>Yes</v>
      </c>
    </row>
    <row r="22" customFormat="false" ht="15" hidden="false" customHeight="false" outlineLevel="0" collapsed="false">
      <c r="A22" s="16" t="n">
        <v>1021</v>
      </c>
      <c r="B22" s="16" t="s">
        <v>95</v>
      </c>
      <c r="C22" s="16" t="s">
        <v>96</v>
      </c>
      <c r="D22" s="16" t="s">
        <v>25</v>
      </c>
      <c r="E22" s="16" t="s">
        <v>34</v>
      </c>
      <c r="F22" s="16" t="s">
        <v>38</v>
      </c>
      <c r="G22" s="16" t="s">
        <v>16</v>
      </c>
      <c r="H22" s="17" t="n">
        <v>355000</v>
      </c>
      <c r="I22" s="18" t="n">
        <v>46210</v>
      </c>
      <c r="J22" s="18" t="n">
        <v>46244</v>
      </c>
      <c r="K22" s="19" t="str">
        <f aca="true">IF(OR(G22="Won",G22="Lost"),"No",IF(TODAY()-J22&gt;14,"Yes","No"))</f>
        <v>Yes</v>
      </c>
    </row>
    <row r="23" customFormat="false" ht="15" hidden="false" customHeight="false" outlineLevel="0" collapsed="false">
      <c r="A23" s="16" t="n">
        <v>1022</v>
      </c>
      <c r="B23" s="16" t="s">
        <v>97</v>
      </c>
      <c r="C23" s="16" t="s">
        <v>98</v>
      </c>
      <c r="D23" s="16" t="s">
        <v>27</v>
      </c>
      <c r="E23" s="16" t="s">
        <v>33</v>
      </c>
      <c r="F23" s="16" t="s">
        <v>39</v>
      </c>
      <c r="G23" s="16" t="s">
        <v>18</v>
      </c>
      <c r="H23" s="17" t="n">
        <v>345000</v>
      </c>
      <c r="I23" s="18" t="n">
        <v>46216</v>
      </c>
      <c r="J23" s="18" t="n">
        <v>46249</v>
      </c>
      <c r="K23" s="19" t="str">
        <f aca="true">IF(OR(G23="Won",G23="Lost"),"No",IF(TODAY()-J23&gt;14,"Yes","No"))</f>
        <v>No</v>
      </c>
    </row>
    <row r="24" customFormat="false" ht="15" hidden="false" customHeight="false" outlineLevel="0" collapsed="false">
      <c r="A24" s="16" t="n">
        <v>1023</v>
      </c>
      <c r="B24" s="16" t="s">
        <v>99</v>
      </c>
      <c r="C24" s="16" t="s">
        <v>98</v>
      </c>
      <c r="D24" s="16" t="s">
        <v>24</v>
      </c>
      <c r="E24" s="16" t="s">
        <v>34</v>
      </c>
      <c r="F24" s="16" t="s">
        <v>37</v>
      </c>
      <c r="G24" s="16" t="s">
        <v>15</v>
      </c>
      <c r="H24" s="17" t="n">
        <v>100000</v>
      </c>
      <c r="I24" s="18" t="n">
        <v>46218</v>
      </c>
      <c r="J24" s="18" t="n">
        <v>46222</v>
      </c>
      <c r="K24" s="19" t="str">
        <f aca="true">IF(OR(G24="Won",G24="Lost"),"No",IF(TODAY()-J24&gt;14,"Yes","No"))</f>
        <v>Yes</v>
      </c>
    </row>
    <row r="25" customFormat="false" ht="15" hidden="false" customHeight="false" outlineLevel="0" collapsed="false">
      <c r="A25" s="16" t="n">
        <v>1024</v>
      </c>
      <c r="B25" s="16" t="s">
        <v>100</v>
      </c>
      <c r="C25" s="16" t="s">
        <v>87</v>
      </c>
      <c r="D25" s="16" t="s">
        <v>24</v>
      </c>
      <c r="E25" s="16" t="s">
        <v>34</v>
      </c>
      <c r="F25" s="16" t="s">
        <v>38</v>
      </c>
      <c r="G25" s="16" t="s">
        <v>14</v>
      </c>
      <c r="H25" s="17" t="n">
        <v>230000</v>
      </c>
      <c r="I25" s="18" t="n">
        <v>46218</v>
      </c>
      <c r="J25" s="18" t="n">
        <v>46252</v>
      </c>
      <c r="K25" s="19" t="str">
        <f aca="true">IF(OR(G25="Won",G25="Lost"),"No",IF(TODAY()-J25&gt;14,"Yes","No"))</f>
        <v>Yes</v>
      </c>
    </row>
    <row r="26" customFormat="false" ht="15" hidden="false" customHeight="false" outlineLevel="0" collapsed="false">
      <c r="A26" s="16" t="n">
        <v>1025</v>
      </c>
      <c r="B26" s="16" t="s">
        <v>101</v>
      </c>
      <c r="C26" s="16" t="s">
        <v>102</v>
      </c>
      <c r="D26" s="16" t="s">
        <v>23</v>
      </c>
      <c r="E26" s="16" t="s">
        <v>31</v>
      </c>
      <c r="F26" s="16" t="s">
        <v>37</v>
      </c>
      <c r="G26" s="16" t="s">
        <v>16</v>
      </c>
      <c r="H26" s="17" t="n">
        <v>325000</v>
      </c>
      <c r="I26" s="18" t="n">
        <v>46222</v>
      </c>
      <c r="J26" s="18" t="n">
        <v>46226</v>
      </c>
      <c r="K26" s="19" t="str">
        <f aca="true">IF(OR(G26="Won",G26="Lost"),"No",IF(TODAY()-J26&gt;14,"Yes","No"))</f>
        <v>Yes</v>
      </c>
    </row>
    <row r="27" customFormat="false" ht="15" hidden="false" customHeight="false" outlineLevel="0" collapsed="false">
      <c r="A27" s="16" t="n">
        <v>1026</v>
      </c>
      <c r="B27" s="16" t="s">
        <v>103</v>
      </c>
      <c r="C27" s="16" t="s">
        <v>104</v>
      </c>
      <c r="D27" s="16" t="s">
        <v>24</v>
      </c>
      <c r="E27" s="16" t="s">
        <v>32</v>
      </c>
      <c r="F27" s="16" t="s">
        <v>38</v>
      </c>
      <c r="G27" s="16" t="s">
        <v>18</v>
      </c>
      <c r="H27" s="17" t="n">
        <v>90000</v>
      </c>
      <c r="I27" s="18" t="n">
        <v>46222</v>
      </c>
      <c r="J27" s="18" t="n">
        <v>46233</v>
      </c>
      <c r="K27" s="19" t="str">
        <f aca="true">IF(OR(G27="Won",G27="Lost"),"No",IF(TODAY()-J27&gt;14,"Yes","No"))</f>
        <v>No</v>
      </c>
    </row>
    <row r="28" customFormat="false" ht="15" hidden="false" customHeight="false" outlineLevel="0" collapsed="false">
      <c r="A28" s="16" t="n">
        <v>1027</v>
      </c>
      <c r="B28" s="16" t="s">
        <v>105</v>
      </c>
      <c r="C28" s="16" t="s">
        <v>81</v>
      </c>
      <c r="D28" s="16" t="s">
        <v>27</v>
      </c>
      <c r="E28" s="16" t="s">
        <v>31</v>
      </c>
      <c r="F28" s="16" t="s">
        <v>40</v>
      </c>
      <c r="G28" s="16" t="s">
        <v>18</v>
      </c>
      <c r="H28" s="17" t="n">
        <v>325000</v>
      </c>
      <c r="I28" s="18" t="n">
        <v>46224</v>
      </c>
      <c r="J28" s="18" t="n">
        <v>46248</v>
      </c>
      <c r="K28" s="19" t="str">
        <f aca="true">IF(OR(G28="Won",G28="Lost"),"No",IF(TODAY()-J28&gt;14,"Yes","No"))</f>
        <v>No</v>
      </c>
    </row>
    <row r="29" customFormat="false" ht="15" hidden="false" customHeight="false" outlineLevel="0" collapsed="false">
      <c r="A29" s="16" t="n">
        <v>1028</v>
      </c>
      <c r="B29" s="16" t="s">
        <v>106</v>
      </c>
      <c r="C29" s="16" t="s">
        <v>107</v>
      </c>
      <c r="D29" s="16" t="s">
        <v>25</v>
      </c>
      <c r="E29" s="16" t="s">
        <v>33</v>
      </c>
      <c r="F29" s="16" t="s">
        <v>37</v>
      </c>
      <c r="G29" s="16" t="s">
        <v>17</v>
      </c>
      <c r="H29" s="17" t="n">
        <v>455000</v>
      </c>
      <c r="I29" s="18" t="n">
        <v>46225</v>
      </c>
      <c r="J29" s="18" t="n">
        <v>46261</v>
      </c>
      <c r="K29" s="19" t="str">
        <f aca="true">IF(OR(G29="Won",G29="Lost"),"No",IF(TODAY()-J29&gt;14,"Yes","No"))</f>
        <v>Yes</v>
      </c>
    </row>
    <row r="30" customFormat="false" ht="15" hidden="false" customHeight="false" outlineLevel="0" collapsed="false">
      <c r="A30" s="16" t="n">
        <v>1029</v>
      </c>
      <c r="B30" s="16" t="s">
        <v>108</v>
      </c>
      <c r="C30" s="16" t="s">
        <v>109</v>
      </c>
      <c r="D30" s="16" t="s">
        <v>27</v>
      </c>
      <c r="E30" s="16" t="s">
        <v>32</v>
      </c>
      <c r="F30" s="16" t="s">
        <v>38</v>
      </c>
      <c r="G30" s="16" t="s">
        <v>14</v>
      </c>
      <c r="H30" s="17" t="n">
        <v>410000</v>
      </c>
      <c r="I30" s="18" t="n">
        <v>46229</v>
      </c>
      <c r="J30" s="18" t="n">
        <v>46263</v>
      </c>
      <c r="K30" s="19" t="str">
        <f aca="true">IF(OR(G30="Won",G30="Lost"),"No",IF(TODAY()-J30&gt;14,"Yes","No"))</f>
        <v>Yes</v>
      </c>
    </row>
    <row r="31" customFormat="false" ht="15" hidden="false" customHeight="false" outlineLevel="0" collapsed="false">
      <c r="A31" s="16" t="n">
        <v>1030</v>
      </c>
      <c r="B31" s="16" t="s">
        <v>110</v>
      </c>
      <c r="C31" s="16" t="s">
        <v>111</v>
      </c>
      <c r="D31" s="16" t="s">
        <v>24</v>
      </c>
      <c r="E31" s="16" t="s">
        <v>32</v>
      </c>
      <c r="F31" s="16" t="s">
        <v>38</v>
      </c>
      <c r="G31" s="16" t="s">
        <v>17</v>
      </c>
      <c r="H31" s="17" t="n">
        <v>220000</v>
      </c>
      <c r="I31" s="18" t="n">
        <v>46230</v>
      </c>
      <c r="J31" s="18" t="n">
        <v>46267</v>
      </c>
      <c r="K31" s="19" t="str">
        <f aca="true">IF(OR(G31="Won",G31="Lost"),"No",IF(TODAY()-J31&gt;14,"Yes","No"))</f>
        <v>Yes</v>
      </c>
    </row>
    <row r="32" customFormat="false" ht="15" hidden="false" customHeight="false" outlineLevel="0" collapsed="false">
      <c r="A32" s="16" t="n">
        <v>1031</v>
      </c>
      <c r="B32" s="16" t="s">
        <v>112</v>
      </c>
      <c r="C32" s="16" t="s">
        <v>113</v>
      </c>
      <c r="D32" s="16" t="s">
        <v>27</v>
      </c>
      <c r="E32" s="16" t="s">
        <v>32</v>
      </c>
      <c r="F32" s="16" t="s">
        <v>40</v>
      </c>
      <c r="G32" s="16" t="s">
        <v>19</v>
      </c>
      <c r="H32" s="17" t="n">
        <v>240000</v>
      </c>
      <c r="I32" s="18" t="n">
        <v>46231</v>
      </c>
      <c r="J32" s="18" t="n">
        <v>46248</v>
      </c>
      <c r="K32" s="19" t="str">
        <f aca="true">IF(OR(G32="Won",G32="Lost"),"No",IF(TODAY()-J32&gt;14,"Yes","No"))</f>
        <v>No</v>
      </c>
    </row>
    <row r="33" customFormat="false" ht="15" hidden="false" customHeight="false" outlineLevel="0" collapsed="false">
      <c r="A33" s="16" t="n">
        <v>1032</v>
      </c>
      <c r="B33" s="16" t="s">
        <v>114</v>
      </c>
      <c r="C33" s="16" t="s">
        <v>115</v>
      </c>
      <c r="D33" s="16" t="s">
        <v>25</v>
      </c>
      <c r="E33" s="16" t="s">
        <v>33</v>
      </c>
      <c r="F33" s="16" t="s">
        <v>38</v>
      </c>
      <c r="G33" s="16" t="s">
        <v>18</v>
      </c>
      <c r="H33" s="17" t="n">
        <v>445000</v>
      </c>
      <c r="I33" s="18" t="n">
        <v>46233</v>
      </c>
      <c r="J33" s="18" t="n">
        <v>46250</v>
      </c>
      <c r="K33" s="19" t="str">
        <f aca="true">IF(OR(G33="Won",G33="Lost"),"No",IF(TODAY()-J33&gt;14,"Yes","No"))</f>
        <v>No</v>
      </c>
    </row>
    <row r="34" customFormat="false" ht="15" hidden="false" customHeight="false" outlineLevel="0" collapsed="false">
      <c r="A34" s="16" t="n">
        <v>1033</v>
      </c>
      <c r="B34" s="16" t="s">
        <v>116</v>
      </c>
      <c r="C34" s="16" t="s">
        <v>117</v>
      </c>
      <c r="D34" s="16" t="s">
        <v>25</v>
      </c>
      <c r="E34" s="16" t="s">
        <v>33</v>
      </c>
      <c r="F34" s="16" t="s">
        <v>40</v>
      </c>
      <c r="G34" s="16" t="s">
        <v>18</v>
      </c>
      <c r="H34" s="17" t="n">
        <v>400000</v>
      </c>
      <c r="I34" s="18" t="n">
        <v>46236</v>
      </c>
      <c r="J34" s="18" t="n">
        <v>46236</v>
      </c>
      <c r="K34" s="19" t="str">
        <f aca="true">IF(OR(G34="Won",G34="Lost"),"No",IF(TODAY()-J34&gt;14,"Yes","No"))</f>
        <v>No</v>
      </c>
    </row>
    <row r="35" customFormat="false" ht="15" hidden="false" customHeight="false" outlineLevel="0" collapsed="false">
      <c r="A35" s="16" t="n">
        <v>1034</v>
      </c>
      <c r="B35" s="16" t="s">
        <v>118</v>
      </c>
      <c r="C35" s="16" t="s">
        <v>119</v>
      </c>
      <c r="D35" s="16" t="s">
        <v>25</v>
      </c>
      <c r="E35" s="16" t="s">
        <v>32</v>
      </c>
      <c r="F35" s="16" t="s">
        <v>38</v>
      </c>
      <c r="G35" s="16" t="s">
        <v>15</v>
      </c>
      <c r="H35" s="17" t="n">
        <v>255000</v>
      </c>
      <c r="I35" s="18" t="n">
        <v>46239</v>
      </c>
      <c r="J35" s="18" t="n">
        <v>46239</v>
      </c>
      <c r="K35" s="19" t="str">
        <f aca="true">IF(OR(G35="Won",G35="Lost"),"No",IF(TODAY()-J35&gt;14,"Yes","No"))</f>
        <v>Yes</v>
      </c>
    </row>
    <row r="36" customFormat="false" ht="15" hidden="false" customHeight="false" outlineLevel="0" collapsed="false">
      <c r="A36" s="16" t="n">
        <v>1035</v>
      </c>
      <c r="B36" s="16" t="s">
        <v>120</v>
      </c>
      <c r="C36" s="16" t="s">
        <v>107</v>
      </c>
      <c r="D36" s="16" t="s">
        <v>26</v>
      </c>
      <c r="E36" s="16" t="s">
        <v>34</v>
      </c>
      <c r="F36" s="16" t="s">
        <v>39</v>
      </c>
      <c r="G36" s="16" t="s">
        <v>15</v>
      </c>
      <c r="H36" s="17" t="n">
        <v>90000</v>
      </c>
      <c r="I36" s="18" t="n">
        <v>46244</v>
      </c>
      <c r="J36" s="18" t="n">
        <v>46254</v>
      </c>
      <c r="K36" s="19" t="str">
        <f aca="true">IF(OR(G36="Won",G36="Lost"),"No",IF(TODAY()-J36&gt;14,"Yes","No"))</f>
        <v>Yes</v>
      </c>
    </row>
    <row r="37" customFormat="false" ht="15" hidden="false" customHeight="false" outlineLevel="0" collapsed="false">
      <c r="A37" s="16" t="n">
        <v>1036</v>
      </c>
      <c r="B37" s="16" t="s">
        <v>121</v>
      </c>
      <c r="C37" s="16" t="s">
        <v>122</v>
      </c>
      <c r="D37" s="16" t="s">
        <v>26</v>
      </c>
      <c r="E37" s="16" t="s">
        <v>31</v>
      </c>
      <c r="F37" s="16" t="s">
        <v>38</v>
      </c>
      <c r="G37" s="16" t="s">
        <v>19</v>
      </c>
      <c r="H37" s="17" t="n">
        <v>75000</v>
      </c>
      <c r="I37" s="18" t="n">
        <v>46253</v>
      </c>
      <c r="J37" s="18" t="n">
        <v>46291</v>
      </c>
      <c r="K37" s="19" t="str">
        <f aca="true">IF(OR(G37="Won",G37="Lost"),"No",IF(TODAY()-J37&gt;14,"Yes","No"))</f>
        <v>No</v>
      </c>
    </row>
    <row r="38" customFormat="false" ht="15" hidden="false" customHeight="false" outlineLevel="0" collapsed="false">
      <c r="A38" s="16" t="n">
        <v>1037</v>
      </c>
      <c r="B38" s="16" t="s">
        <v>123</v>
      </c>
      <c r="C38" s="16" t="s">
        <v>124</v>
      </c>
      <c r="D38" s="16" t="s">
        <v>25</v>
      </c>
      <c r="E38" s="16" t="s">
        <v>31</v>
      </c>
      <c r="F38" s="16" t="s">
        <v>39</v>
      </c>
      <c r="G38" s="16" t="s">
        <v>14</v>
      </c>
      <c r="H38" s="17" t="n">
        <v>225000</v>
      </c>
      <c r="I38" s="18" t="n">
        <v>46253</v>
      </c>
      <c r="J38" s="18" t="n">
        <v>46287</v>
      </c>
      <c r="K38" s="19" t="str">
        <f aca="true">IF(OR(G38="Won",G38="Lost"),"No",IF(TODAY()-J38&gt;14,"Yes","No"))</f>
        <v>Yes</v>
      </c>
    </row>
    <row r="39" customFormat="false" ht="15" hidden="false" customHeight="false" outlineLevel="0" collapsed="false">
      <c r="A39" s="16" t="n">
        <v>1038</v>
      </c>
      <c r="B39" s="16" t="s">
        <v>125</v>
      </c>
      <c r="C39" s="16" t="s">
        <v>126</v>
      </c>
      <c r="D39" s="16" t="s">
        <v>24</v>
      </c>
      <c r="E39" s="16" t="s">
        <v>31</v>
      </c>
      <c r="F39" s="16" t="s">
        <v>38</v>
      </c>
      <c r="G39" s="16" t="s">
        <v>19</v>
      </c>
      <c r="H39" s="17" t="n">
        <v>155000</v>
      </c>
      <c r="I39" s="18" t="n">
        <v>46254</v>
      </c>
      <c r="J39" s="18" t="n">
        <v>46266</v>
      </c>
      <c r="K39" s="19" t="str">
        <f aca="true">IF(OR(G39="Won",G39="Lost"),"No",IF(TODAY()-J39&gt;14,"Yes","No"))</f>
        <v>No</v>
      </c>
    </row>
    <row r="40" customFormat="false" ht="15" hidden="false" customHeight="false" outlineLevel="0" collapsed="false">
      <c r="A40" s="16" t="n">
        <v>1039</v>
      </c>
      <c r="B40" s="16" t="s">
        <v>127</v>
      </c>
      <c r="C40" s="16" t="s">
        <v>96</v>
      </c>
      <c r="D40" s="16" t="s">
        <v>25</v>
      </c>
      <c r="E40" s="16" t="s">
        <v>31</v>
      </c>
      <c r="F40" s="16" t="s">
        <v>40</v>
      </c>
      <c r="G40" s="16" t="s">
        <v>15</v>
      </c>
      <c r="H40" s="17" t="n">
        <v>215000</v>
      </c>
      <c r="I40" s="18" t="n">
        <v>46260</v>
      </c>
      <c r="J40" s="18" t="n">
        <v>46265</v>
      </c>
      <c r="K40" s="19" t="str">
        <f aca="true">IF(OR(G40="Won",G40="Lost"),"No",IF(TODAY()-J40&gt;14,"Yes","No"))</f>
        <v>Yes</v>
      </c>
    </row>
    <row r="41" customFormat="false" ht="15" hidden="false" customHeight="false" outlineLevel="0" collapsed="false">
      <c r="A41" s="16" t="n">
        <v>1040</v>
      </c>
      <c r="B41" s="16" t="s">
        <v>128</v>
      </c>
      <c r="C41" s="16" t="s">
        <v>113</v>
      </c>
      <c r="D41" s="16" t="s">
        <v>26</v>
      </c>
      <c r="E41" s="16" t="s">
        <v>31</v>
      </c>
      <c r="F41" s="16" t="s">
        <v>40</v>
      </c>
      <c r="G41" s="16" t="s">
        <v>18</v>
      </c>
      <c r="H41" s="17" t="n">
        <v>70000</v>
      </c>
      <c r="I41" s="18" t="n">
        <v>46261</v>
      </c>
      <c r="J41" s="18" t="n">
        <v>46283</v>
      </c>
      <c r="K41" s="19" t="str">
        <f aca="true">IF(OR(G41="Won",G41="Lost"),"No",IF(TODAY()-J41&gt;14,"Yes","No"))</f>
        <v>No</v>
      </c>
    </row>
    <row r="42" customFormat="false" ht="15" hidden="false" customHeight="false" outlineLevel="0" collapsed="false">
      <c r="A42" s="16" t="n">
        <v>1041</v>
      </c>
      <c r="B42" s="16" t="s">
        <v>129</v>
      </c>
      <c r="C42" s="16" t="s">
        <v>130</v>
      </c>
      <c r="D42" s="16" t="s">
        <v>25</v>
      </c>
      <c r="E42" s="16" t="s">
        <v>34</v>
      </c>
      <c r="F42" s="16" t="s">
        <v>37</v>
      </c>
      <c r="G42" s="16" t="s">
        <v>14</v>
      </c>
      <c r="H42" s="17" t="n">
        <v>285000</v>
      </c>
      <c r="I42" s="18" t="n">
        <v>46261</v>
      </c>
      <c r="J42" s="18" t="n">
        <v>46296</v>
      </c>
      <c r="K42" s="19" t="str">
        <f aca="true">IF(OR(G42="Won",G42="Lost"),"No",IF(TODAY()-J42&gt;14,"Yes","No"))</f>
        <v>Yes</v>
      </c>
    </row>
    <row r="43" customFormat="false" ht="15" hidden="false" customHeight="false" outlineLevel="0" collapsed="false">
      <c r="A43" s="16" t="n">
        <v>1042</v>
      </c>
      <c r="B43" s="16" t="s">
        <v>131</v>
      </c>
      <c r="C43" s="16" t="s">
        <v>115</v>
      </c>
      <c r="D43" s="16" t="s">
        <v>23</v>
      </c>
      <c r="E43" s="16" t="s">
        <v>31</v>
      </c>
      <c r="F43" s="16" t="s">
        <v>37</v>
      </c>
      <c r="G43" s="16" t="s">
        <v>16</v>
      </c>
      <c r="H43" s="17" t="n">
        <v>390000</v>
      </c>
      <c r="I43" s="18" t="n">
        <v>46271</v>
      </c>
      <c r="J43" s="18" t="n">
        <v>46295</v>
      </c>
      <c r="K43" s="19" t="str">
        <f aca="true">IF(OR(G43="Won",G43="Lost"),"No",IF(TODAY()-J43&gt;14,"Yes","No"))</f>
        <v>Yes</v>
      </c>
    </row>
    <row r="44" customFormat="false" ht="15" hidden="false" customHeight="false" outlineLevel="0" collapsed="false">
      <c r="A44" s="16" t="n">
        <v>1043</v>
      </c>
      <c r="B44" s="16" t="s">
        <v>132</v>
      </c>
      <c r="C44" s="16" t="s">
        <v>133</v>
      </c>
      <c r="D44" s="16" t="s">
        <v>26</v>
      </c>
      <c r="E44" s="16" t="s">
        <v>32</v>
      </c>
      <c r="F44" s="16" t="s">
        <v>38</v>
      </c>
      <c r="G44" s="16" t="s">
        <v>17</v>
      </c>
      <c r="H44" s="17" t="n">
        <v>295000</v>
      </c>
      <c r="I44" s="18" t="n">
        <v>46273</v>
      </c>
      <c r="J44" s="18" t="n">
        <v>46279</v>
      </c>
      <c r="K44" s="19" t="str">
        <f aca="true">IF(OR(G44="Won",G44="Lost"),"No",IF(TODAY()-J44&gt;14,"Yes","No"))</f>
        <v>Yes</v>
      </c>
    </row>
    <row r="45" customFormat="false" ht="15" hidden="false" customHeight="false" outlineLevel="0" collapsed="false">
      <c r="A45" s="16" t="n">
        <v>1044</v>
      </c>
      <c r="B45" s="16" t="s">
        <v>134</v>
      </c>
      <c r="C45" s="16" t="s">
        <v>135</v>
      </c>
      <c r="D45" s="16" t="s">
        <v>26</v>
      </c>
      <c r="E45" s="16" t="s">
        <v>31</v>
      </c>
      <c r="F45" s="16" t="s">
        <v>37</v>
      </c>
      <c r="G45" s="16" t="s">
        <v>15</v>
      </c>
      <c r="H45" s="17" t="n">
        <v>205000</v>
      </c>
      <c r="I45" s="18" t="n">
        <v>46276</v>
      </c>
      <c r="J45" s="18" t="n">
        <v>46282</v>
      </c>
      <c r="K45" s="19" t="str">
        <f aca="true">IF(OR(G45="Won",G45="Lost"),"No",IF(TODAY()-J45&gt;14,"Yes","No"))</f>
        <v>Yes</v>
      </c>
    </row>
    <row r="46" customFormat="false" ht="15" hidden="false" customHeight="false" outlineLevel="0" collapsed="false">
      <c r="A46" s="16" t="n">
        <v>1045</v>
      </c>
      <c r="B46" s="16" t="s">
        <v>136</v>
      </c>
      <c r="C46" s="16" t="s">
        <v>137</v>
      </c>
      <c r="D46" s="16" t="s">
        <v>27</v>
      </c>
      <c r="E46" s="16" t="s">
        <v>33</v>
      </c>
      <c r="F46" s="16" t="s">
        <v>40</v>
      </c>
      <c r="G46" s="16" t="s">
        <v>19</v>
      </c>
      <c r="H46" s="17" t="n">
        <v>230000</v>
      </c>
      <c r="I46" s="18" t="n">
        <v>46277</v>
      </c>
      <c r="J46" s="18" t="n">
        <v>46285</v>
      </c>
      <c r="K46" s="19" t="str">
        <f aca="true">IF(OR(G46="Won",G46="Lost"),"No",IF(TODAY()-J46&gt;14,"Yes","No"))</f>
        <v>No</v>
      </c>
    </row>
    <row r="47" customFormat="false" ht="15" hidden="false" customHeight="false" outlineLevel="0" collapsed="false">
      <c r="A47" s="16" t="n">
        <v>1046</v>
      </c>
      <c r="B47" s="16" t="s">
        <v>138</v>
      </c>
      <c r="C47" s="16" t="s">
        <v>133</v>
      </c>
      <c r="D47" s="16" t="s">
        <v>27</v>
      </c>
      <c r="E47" s="16" t="s">
        <v>34</v>
      </c>
      <c r="F47" s="16" t="s">
        <v>40</v>
      </c>
      <c r="G47" s="16" t="s">
        <v>15</v>
      </c>
      <c r="H47" s="17" t="n">
        <v>265000</v>
      </c>
      <c r="I47" s="18" t="n">
        <v>46280</v>
      </c>
      <c r="J47" s="18" t="n">
        <v>46301</v>
      </c>
      <c r="K47" s="19" t="str">
        <f aca="true">IF(OR(G47="Won",G47="Lost"),"No",IF(TODAY()-J47&gt;14,"Yes","No"))</f>
        <v>No</v>
      </c>
    </row>
    <row r="48" customFormat="false" ht="15" hidden="false" customHeight="false" outlineLevel="0" collapsed="false">
      <c r="A48" s="16" t="n">
        <v>1047</v>
      </c>
      <c r="B48" s="16" t="s">
        <v>139</v>
      </c>
      <c r="C48" s="16" t="s">
        <v>81</v>
      </c>
      <c r="D48" s="16" t="s">
        <v>26</v>
      </c>
      <c r="E48" s="16" t="s">
        <v>34</v>
      </c>
      <c r="F48" s="16" t="s">
        <v>38</v>
      </c>
      <c r="G48" s="16" t="s">
        <v>14</v>
      </c>
      <c r="H48" s="17" t="n">
        <v>90000</v>
      </c>
      <c r="I48" s="18" t="n">
        <v>46281</v>
      </c>
      <c r="J48" s="18" t="n">
        <v>46305</v>
      </c>
      <c r="K48" s="19" t="str">
        <f aca="true">IF(OR(G48="Won",G48="Lost"),"No",IF(TODAY()-J48&gt;14,"Yes","No"))</f>
        <v>No</v>
      </c>
    </row>
    <row r="49" customFormat="false" ht="15" hidden="false" customHeight="false" outlineLevel="0" collapsed="false">
      <c r="A49" s="16" t="n">
        <v>1048</v>
      </c>
      <c r="B49" s="16" t="s">
        <v>140</v>
      </c>
      <c r="C49" s="16" t="s">
        <v>141</v>
      </c>
      <c r="D49" s="16" t="s">
        <v>25</v>
      </c>
      <c r="E49" s="16" t="s">
        <v>34</v>
      </c>
      <c r="F49" s="16" t="s">
        <v>38</v>
      </c>
      <c r="G49" s="16" t="s">
        <v>17</v>
      </c>
      <c r="H49" s="17" t="n">
        <v>490000</v>
      </c>
      <c r="I49" s="18" t="n">
        <v>46290</v>
      </c>
      <c r="J49" s="18" t="n">
        <v>46312</v>
      </c>
      <c r="K49" s="19" t="str">
        <f aca="true">IF(OR(G49="Won",G49="Lost"),"No",IF(TODAY()-J49&gt;14,"Yes","No"))</f>
        <v>No</v>
      </c>
    </row>
    <row r="50" customFormat="false" ht="15" hidden="false" customHeight="false" outlineLevel="0" collapsed="false">
      <c r="A50" s="16" t="n">
        <v>1049</v>
      </c>
      <c r="B50" s="16" t="s">
        <v>142</v>
      </c>
      <c r="C50" s="16" t="s">
        <v>143</v>
      </c>
      <c r="D50" s="16" t="s">
        <v>25</v>
      </c>
      <c r="E50" s="16" t="s">
        <v>32</v>
      </c>
      <c r="F50" s="16" t="s">
        <v>40</v>
      </c>
      <c r="G50" s="16" t="s">
        <v>17</v>
      </c>
      <c r="H50" s="17" t="n">
        <v>275000</v>
      </c>
      <c r="I50" s="18" t="n">
        <v>46291</v>
      </c>
      <c r="J50" s="18" t="n">
        <v>46312</v>
      </c>
      <c r="K50" s="19" t="str">
        <f aca="true">IF(OR(G50="Won",G50="Lost"),"No",IF(TODAY()-J50&gt;14,"Yes","No"))</f>
        <v>No</v>
      </c>
    </row>
    <row r="51" customFormat="false" ht="15" hidden="false" customHeight="false" outlineLevel="0" collapsed="false">
      <c r="A51" s="16" t="n">
        <v>1050</v>
      </c>
      <c r="B51" s="16" t="s">
        <v>144</v>
      </c>
      <c r="C51" s="16" t="s">
        <v>85</v>
      </c>
      <c r="D51" s="16" t="s">
        <v>24</v>
      </c>
      <c r="E51" s="16" t="s">
        <v>31</v>
      </c>
      <c r="F51" s="16" t="s">
        <v>37</v>
      </c>
      <c r="G51" s="16" t="s">
        <v>14</v>
      </c>
      <c r="H51" s="17" t="n">
        <v>435000</v>
      </c>
      <c r="I51" s="18" t="n">
        <v>46292</v>
      </c>
      <c r="J51" s="18" t="n">
        <v>46312</v>
      </c>
      <c r="K51" s="19" t="str">
        <f aca="true">IF(OR(G51="Won",G51="Lost"),"No",IF(TODAY()-J51&gt;14,"Yes","No"))</f>
        <v>No</v>
      </c>
    </row>
    <row r="52" customFormat="false" ht="15" hidden="false" customHeight="false" outlineLevel="0" collapsed="false">
      <c r="A52" s="16" t="n">
        <v>1051</v>
      </c>
      <c r="B52" s="16" t="s">
        <v>145</v>
      </c>
      <c r="C52" s="16" t="s">
        <v>79</v>
      </c>
      <c r="D52" s="16" t="s">
        <v>26</v>
      </c>
      <c r="E52" s="16" t="s">
        <v>34</v>
      </c>
      <c r="F52" s="16" t="s">
        <v>37</v>
      </c>
      <c r="G52" s="16" t="s">
        <v>16</v>
      </c>
      <c r="H52" s="17" t="n">
        <v>470000</v>
      </c>
      <c r="I52" s="18" t="n">
        <v>46294</v>
      </c>
      <c r="J52" s="18" t="n">
        <v>46312</v>
      </c>
      <c r="K52" s="19" t="str">
        <f aca="true">IF(OR(G52="Won",G52="Lost"),"No",IF(TODAY()-J52&gt;14,"Yes","No"))</f>
        <v>No</v>
      </c>
    </row>
    <row r="53" customFormat="false" ht="15" hidden="false" customHeight="false" outlineLevel="0" collapsed="false">
      <c r="A53" s="16" t="n">
        <v>1052</v>
      </c>
      <c r="B53" s="16" t="s">
        <v>146</v>
      </c>
      <c r="C53" s="16" t="s">
        <v>147</v>
      </c>
      <c r="D53" s="16" t="s">
        <v>23</v>
      </c>
      <c r="E53" s="16" t="s">
        <v>32</v>
      </c>
      <c r="F53" s="16" t="s">
        <v>40</v>
      </c>
      <c r="G53" s="16" t="s">
        <v>14</v>
      </c>
      <c r="H53" s="17" t="n">
        <v>220000</v>
      </c>
      <c r="I53" s="18" t="n">
        <v>46295</v>
      </c>
      <c r="J53" s="18" t="n">
        <v>46312</v>
      </c>
      <c r="K53" s="19" t="str">
        <f aca="true">IF(OR(G53="Won",G53="Lost"),"No",IF(TODAY()-J53&gt;14,"Yes","No"))</f>
        <v>No</v>
      </c>
    </row>
    <row r="54" customFormat="false" ht="15" hidden="false" customHeight="false" outlineLevel="0" collapsed="false">
      <c r="A54" s="16" t="n">
        <v>1053</v>
      </c>
      <c r="B54" s="16" t="s">
        <v>148</v>
      </c>
      <c r="C54" s="16" t="s">
        <v>149</v>
      </c>
      <c r="D54" s="16" t="s">
        <v>27</v>
      </c>
      <c r="E54" s="16" t="s">
        <v>34</v>
      </c>
      <c r="F54" s="16" t="s">
        <v>39</v>
      </c>
      <c r="G54" s="16" t="s">
        <v>16</v>
      </c>
      <c r="H54" s="17" t="n">
        <v>475000</v>
      </c>
      <c r="I54" s="18" t="n">
        <v>46300</v>
      </c>
      <c r="J54" s="18" t="n">
        <v>46312</v>
      </c>
      <c r="K54" s="19" t="str">
        <f aca="true">IF(OR(G54="Won",G54="Lost"),"No",IF(TODAY()-J54&gt;14,"Yes","No"))</f>
        <v>No</v>
      </c>
    </row>
    <row r="55" customFormat="false" ht="15" hidden="false" customHeight="false" outlineLevel="0" collapsed="false">
      <c r="A55" s="16" t="n">
        <v>1054</v>
      </c>
      <c r="B55" s="16" t="s">
        <v>150</v>
      </c>
      <c r="C55" s="16" t="s">
        <v>151</v>
      </c>
      <c r="D55" s="16" t="s">
        <v>23</v>
      </c>
      <c r="E55" s="16" t="s">
        <v>32</v>
      </c>
      <c r="F55" s="16" t="s">
        <v>40</v>
      </c>
      <c r="G55" s="16" t="s">
        <v>14</v>
      </c>
      <c r="H55" s="17" t="n">
        <v>460000</v>
      </c>
      <c r="I55" s="18" t="n">
        <v>46300</v>
      </c>
      <c r="J55" s="18" t="n">
        <v>46312</v>
      </c>
      <c r="K55" s="19" t="str">
        <f aca="true">IF(OR(G55="Won",G55="Lost"),"No",IF(TODAY()-J55&gt;14,"Yes","No"))</f>
        <v>No</v>
      </c>
    </row>
    <row r="56" customFormat="false" ht="15" hidden="false" customHeight="false" outlineLevel="0" collapsed="false">
      <c r="A56" s="16" t="n">
        <v>1055</v>
      </c>
      <c r="B56" s="16" t="s">
        <v>152</v>
      </c>
      <c r="C56" s="16" t="s">
        <v>153</v>
      </c>
      <c r="D56" s="16" t="s">
        <v>26</v>
      </c>
      <c r="E56" s="16" t="s">
        <v>33</v>
      </c>
      <c r="F56" s="16" t="s">
        <v>38</v>
      </c>
      <c r="G56" s="16" t="s">
        <v>15</v>
      </c>
      <c r="H56" s="17" t="n">
        <v>225000</v>
      </c>
      <c r="I56" s="18" t="n">
        <v>46301</v>
      </c>
      <c r="J56" s="18" t="n">
        <v>46312</v>
      </c>
      <c r="K56" s="19" t="str">
        <f aca="true">IF(OR(G56="Won",G56="Lost"),"No",IF(TODAY()-J56&gt;14,"Yes","No"))</f>
        <v>No</v>
      </c>
    </row>
    <row r="57" customFormat="false" ht="15" hidden="false" customHeight="false" outlineLevel="0" collapsed="false">
      <c r="A57" s="16" t="n">
        <v>1056</v>
      </c>
      <c r="B57" s="16" t="s">
        <v>154</v>
      </c>
      <c r="C57" s="16" t="s">
        <v>155</v>
      </c>
      <c r="D57" s="16" t="s">
        <v>27</v>
      </c>
      <c r="E57" s="16" t="s">
        <v>31</v>
      </c>
      <c r="F57" s="16" t="s">
        <v>39</v>
      </c>
      <c r="G57" s="16" t="s">
        <v>15</v>
      </c>
      <c r="H57" s="17" t="n">
        <v>335000</v>
      </c>
      <c r="I57" s="18" t="n">
        <v>46301</v>
      </c>
      <c r="J57" s="18" t="n">
        <v>46307</v>
      </c>
      <c r="K57" s="19" t="str">
        <f aca="true">IF(OR(G57="Won",G57="Lost"),"No",IF(TODAY()-J57&gt;14,"Yes","No"))</f>
        <v>No</v>
      </c>
    </row>
    <row r="58" customFormat="false" ht="15" hidden="false" customHeight="false" outlineLevel="0" collapsed="false">
      <c r="A58" s="16" t="n">
        <v>1057</v>
      </c>
      <c r="B58" s="16" t="s">
        <v>156</v>
      </c>
      <c r="C58" s="16" t="s">
        <v>157</v>
      </c>
      <c r="D58" s="16" t="s">
        <v>26</v>
      </c>
      <c r="E58" s="16" t="s">
        <v>33</v>
      </c>
      <c r="F58" s="16" t="s">
        <v>40</v>
      </c>
      <c r="G58" s="16" t="s">
        <v>15</v>
      </c>
      <c r="H58" s="17" t="n">
        <v>170000</v>
      </c>
      <c r="I58" s="18" t="n">
        <v>46305</v>
      </c>
      <c r="J58" s="18" t="n">
        <v>46312</v>
      </c>
      <c r="K58" s="19" t="str">
        <f aca="true">IF(OR(G58="Won",G58="Lost"),"No",IF(TODAY()-J58&gt;14,"Yes","No"))</f>
        <v>No</v>
      </c>
    </row>
    <row r="59" customFormat="false" ht="15" hidden="false" customHeight="false" outlineLevel="0" collapsed="false">
      <c r="A59" s="16" t="n">
        <v>1058</v>
      </c>
      <c r="B59" s="16" t="s">
        <v>158</v>
      </c>
      <c r="C59" s="16" t="s">
        <v>159</v>
      </c>
      <c r="D59" s="16" t="s">
        <v>24</v>
      </c>
      <c r="E59" s="16" t="s">
        <v>33</v>
      </c>
      <c r="F59" s="16" t="s">
        <v>37</v>
      </c>
      <c r="G59" s="16" t="s">
        <v>15</v>
      </c>
      <c r="H59" s="17" t="n">
        <v>295000</v>
      </c>
      <c r="I59" s="18" t="n">
        <v>46305</v>
      </c>
      <c r="J59" s="18" t="n">
        <v>46312</v>
      </c>
      <c r="K59" s="19" t="str">
        <f aca="true">IF(OR(G59="Won",G59="Lost"),"No",IF(TODAY()-J59&gt;14,"Yes","No"))</f>
        <v>No</v>
      </c>
    </row>
    <row r="60" customFormat="false" ht="15" hidden="false" customHeight="false" outlineLevel="0" collapsed="false">
      <c r="A60" s="16" t="n">
        <v>1059</v>
      </c>
      <c r="B60" s="16" t="s">
        <v>160</v>
      </c>
      <c r="C60" s="16" t="s">
        <v>161</v>
      </c>
      <c r="D60" s="16" t="s">
        <v>24</v>
      </c>
      <c r="E60" s="16" t="s">
        <v>31</v>
      </c>
      <c r="F60" s="16" t="s">
        <v>40</v>
      </c>
      <c r="G60" s="16" t="s">
        <v>19</v>
      </c>
      <c r="H60" s="17" t="n">
        <v>430000</v>
      </c>
      <c r="I60" s="18" t="n">
        <v>46305</v>
      </c>
      <c r="J60" s="18" t="n">
        <v>46312</v>
      </c>
      <c r="K60" s="19" t="str">
        <f aca="true">IF(OR(G60="Won",G60="Lost"),"No",IF(TODAY()-J60&gt;14,"Yes","No"))</f>
        <v>No</v>
      </c>
    </row>
    <row r="61" customFormat="false" ht="15" hidden="false" customHeight="false" outlineLevel="0" collapsed="false">
      <c r="A61" s="16" t="n">
        <v>1060</v>
      </c>
      <c r="B61" s="16" t="s">
        <v>162</v>
      </c>
      <c r="C61" s="16" t="s">
        <v>163</v>
      </c>
      <c r="D61" s="16" t="s">
        <v>23</v>
      </c>
      <c r="E61" s="16" t="s">
        <v>33</v>
      </c>
      <c r="F61" s="16" t="s">
        <v>38</v>
      </c>
      <c r="G61" s="16" t="s">
        <v>15</v>
      </c>
      <c r="H61" s="17" t="n">
        <v>100000</v>
      </c>
      <c r="I61" s="18" t="n">
        <v>46309</v>
      </c>
      <c r="J61" s="18" t="n">
        <v>46312</v>
      </c>
      <c r="K61" s="19" t="str">
        <f aca="true">IF(OR(G61="Won",G61="Lost"),"No",IF(TODAY()-J61&gt;14,"Yes","No"))</f>
        <v>No</v>
      </c>
    </row>
  </sheetData>
  <autoFilter ref="A1:K61"/>
  <conditionalFormatting sqref="G2:G500">
    <cfRule type="cellIs" priority="2" operator="equal" aboveAverage="0" equalAverage="0" bottom="0" percent="0" rank="0" text="" dxfId="9">
      <formula>"Won"</formula>
    </cfRule>
    <cfRule type="cellIs" priority="3" operator="equal" aboveAverage="0" equalAverage="0" bottom="0" percent="0" rank="0" text="" dxfId="10">
      <formula>"Lost"</formula>
    </cfRule>
  </conditionalFormatting>
  <conditionalFormatting sqref="K2:K500">
    <cfRule type="cellIs" priority="4" operator="equal" aboveAverage="0" equalAverage="0" bottom="0" percent="0" rank="0" text="" dxfId="11">
      <formula>"Yes"</formula>
    </cfRule>
  </conditionalFormatting>
  <dataValidations count="4">
    <dataValidation allowBlank="true" errorStyle="stop" operator="between" showDropDown="false" showErrorMessage="false" showInputMessage="false" sqref="D2:D500" type="list">
      <formula1>"Website,Referral,LinkedIn,Email Campaign,Cold Call"</formula1>
      <formula2>0</formula2>
    </dataValidation>
    <dataValidation allowBlank="true" errorStyle="stop" operator="between" showDropDown="false" showErrorMessage="false" showInputMessage="false" sqref="E2:E500" type="list">
      <formula1>"Aarav Mehta,Priya Nair,Rohan Das,Sneha Iyer"</formula1>
      <formula2>0</formula2>
    </dataValidation>
    <dataValidation allowBlank="true" errorStyle="stop" operator="between" showDropDown="false" showErrorMessage="false" showInputMessage="false" sqref="F2:F500" type="list">
      <formula1>"North,South,East,West"</formula1>
      <formula2>0</formula2>
    </dataValidation>
    <dataValidation allowBlank="true" errorStyle="stop" operator="between" showDropDown="false" showErrorMessage="false" showInputMessage="false" sqref="G2:G500" type="list">
      <formula1>"New,Contacted,Proposal Sent,Negotiation,Won,Lost"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2026-10-18T13:26:26Z</dcterms:created>
  <dc:creator>openpyxl</dc:creator>
  <dc:description/>
  <dc:language>en-US</dc:language>
  <cp:lastModifiedBy/>
  <dcterms:modified xsi:type="dcterms:W3CDTF">2026-10-18T13:26:28Z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